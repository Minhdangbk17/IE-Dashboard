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8_{4D32BDF1-982A-431A-8D2F-F1B3A3696A4D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pivot" sheetId="4" r:id="rId1"/>
    <sheet name="data" sheetId="2" r:id="rId2"/>
    <sheet name="note" sheetId="3" r:id="rId3"/>
  </sheets>
  <externalReferences>
    <externalReference r:id="rId4"/>
    <externalReference r:id="rId5"/>
  </externalReferences>
  <definedNames>
    <definedName name="_xlnm._FilterDatabase" localSheetId="1" hidden="1">data!$A$1:$CA$58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3" i="2" l="1"/>
  <c r="CA58" i="2"/>
  <c r="BZ58" i="2"/>
  <c r="BY58" i="2"/>
  <c r="BX58" i="2"/>
  <c r="BW58" i="2"/>
  <c r="BV58" i="2"/>
  <c r="CA57" i="2"/>
  <c r="BZ57" i="2"/>
  <c r="BY57" i="2"/>
  <c r="BX57" i="2"/>
  <c r="BW57" i="2"/>
  <c r="BV57" i="2"/>
  <c r="CA56" i="2"/>
  <c r="BZ56" i="2"/>
  <c r="BY56" i="2"/>
  <c r="BX56" i="2"/>
  <c r="BW56" i="2"/>
  <c r="BV56" i="2"/>
  <c r="CA55" i="2"/>
  <c r="BZ55" i="2"/>
  <c r="BY55" i="2"/>
  <c r="BX55" i="2"/>
  <c r="BW55" i="2"/>
  <c r="BV55" i="2"/>
  <c r="CA54" i="2"/>
  <c r="BZ54" i="2"/>
  <c r="BY54" i="2"/>
  <c r="BX54" i="2"/>
  <c r="BW54" i="2"/>
  <c r="BV54" i="2"/>
  <c r="CA53" i="2"/>
  <c r="BZ53" i="2"/>
  <c r="BY53" i="2"/>
  <c r="BX53" i="2"/>
  <c r="BW53" i="2"/>
  <c r="BV53" i="2"/>
  <c r="CA52" i="2"/>
  <c r="BZ52" i="2"/>
  <c r="BY52" i="2"/>
  <c r="BX52" i="2"/>
  <c r="BW52" i="2"/>
  <c r="BV52" i="2"/>
  <c r="CA51" i="2"/>
  <c r="BZ51" i="2"/>
  <c r="BY51" i="2"/>
  <c r="BX51" i="2"/>
  <c r="BW51" i="2"/>
  <c r="BV51" i="2"/>
  <c r="CA50" i="2"/>
  <c r="BZ50" i="2"/>
  <c r="BY50" i="2"/>
  <c r="BX50" i="2"/>
  <c r="BW50" i="2"/>
  <c r="BV50" i="2"/>
  <c r="CA49" i="2"/>
  <c r="BZ49" i="2"/>
  <c r="BY49" i="2"/>
  <c r="BX49" i="2"/>
  <c r="BW49" i="2"/>
  <c r="BV49" i="2"/>
  <c r="CA48" i="2"/>
  <c r="BZ48" i="2"/>
  <c r="BY48" i="2"/>
  <c r="BX48" i="2"/>
  <c r="BW48" i="2"/>
  <c r="BV48" i="2"/>
  <c r="CA47" i="2"/>
  <c r="BZ47" i="2"/>
  <c r="BY47" i="2"/>
  <c r="BX47" i="2"/>
  <c r="BW47" i="2"/>
  <c r="BV47" i="2"/>
  <c r="CA46" i="2"/>
  <c r="BZ46" i="2"/>
  <c r="BY46" i="2"/>
  <c r="BX46" i="2"/>
  <c r="BW46" i="2"/>
  <c r="BV46" i="2"/>
  <c r="CA45" i="2"/>
  <c r="BZ45" i="2"/>
  <c r="BY45" i="2"/>
  <c r="BX45" i="2"/>
  <c r="BW45" i="2"/>
  <c r="BV45" i="2"/>
  <c r="CA44" i="2"/>
  <c r="BZ44" i="2"/>
  <c r="BY44" i="2"/>
  <c r="BX44" i="2"/>
  <c r="BW44" i="2"/>
  <c r="BV44" i="2"/>
  <c r="CA43" i="2"/>
  <c r="BZ43" i="2"/>
  <c r="BY43" i="2"/>
  <c r="BX43" i="2"/>
  <c r="BW43" i="2"/>
  <c r="BV43" i="2"/>
  <c r="CA42" i="2"/>
  <c r="BZ42" i="2"/>
  <c r="BY42" i="2"/>
  <c r="BX42" i="2"/>
  <c r="BW42" i="2"/>
  <c r="BV42" i="2"/>
  <c r="CA41" i="2"/>
  <c r="BZ41" i="2"/>
  <c r="BY41" i="2"/>
  <c r="BX41" i="2"/>
  <c r="BW41" i="2"/>
  <c r="BV41" i="2"/>
  <c r="CA40" i="2"/>
  <c r="BZ40" i="2"/>
  <c r="BY40" i="2"/>
  <c r="BX40" i="2"/>
  <c r="BW40" i="2"/>
  <c r="BV40" i="2"/>
  <c r="CA39" i="2"/>
  <c r="BZ39" i="2"/>
  <c r="BY39" i="2"/>
  <c r="BX39" i="2"/>
  <c r="BW39" i="2"/>
  <c r="BV39" i="2"/>
  <c r="CA38" i="2"/>
  <c r="BZ38" i="2"/>
  <c r="BY38" i="2"/>
  <c r="BX38" i="2"/>
  <c r="BW38" i="2"/>
  <c r="BV38" i="2"/>
  <c r="CA37" i="2"/>
  <c r="BZ37" i="2"/>
  <c r="BY37" i="2"/>
  <c r="BX37" i="2"/>
  <c r="BW37" i="2"/>
  <c r="BV37" i="2"/>
  <c r="CA36" i="2"/>
  <c r="BZ36" i="2"/>
  <c r="BY36" i="2"/>
  <c r="BX36" i="2"/>
  <c r="BW36" i="2"/>
  <c r="BV36" i="2"/>
  <c r="CA35" i="2"/>
  <c r="BZ35" i="2"/>
  <c r="BY35" i="2"/>
  <c r="BX35" i="2"/>
  <c r="BW35" i="2"/>
  <c r="BV35" i="2"/>
  <c r="CA34" i="2"/>
  <c r="BZ34" i="2"/>
  <c r="BY34" i="2"/>
  <c r="BX34" i="2"/>
  <c r="BW34" i="2"/>
  <c r="BV34" i="2"/>
  <c r="CA33" i="2"/>
  <c r="BZ33" i="2"/>
  <c r="BY33" i="2"/>
  <c r="BX33" i="2"/>
  <c r="BW33" i="2"/>
  <c r="BV33" i="2"/>
  <c r="CA32" i="2"/>
  <c r="BZ32" i="2"/>
  <c r="BY32" i="2"/>
  <c r="BX32" i="2"/>
  <c r="BW32" i="2"/>
  <c r="BV32" i="2"/>
  <c r="CA31" i="2"/>
  <c r="BZ31" i="2"/>
  <c r="BY31" i="2"/>
  <c r="BX31" i="2"/>
  <c r="BW31" i="2"/>
  <c r="BV31" i="2"/>
  <c r="CA30" i="2"/>
  <c r="BZ30" i="2"/>
  <c r="BY30" i="2"/>
  <c r="BX30" i="2"/>
  <c r="BW30" i="2"/>
  <c r="BV30" i="2"/>
  <c r="CA29" i="2"/>
  <c r="BZ29" i="2"/>
  <c r="BY29" i="2"/>
  <c r="BX29" i="2"/>
  <c r="BW29" i="2"/>
  <c r="BV29" i="2"/>
  <c r="CA28" i="2"/>
  <c r="BZ28" i="2"/>
  <c r="BY28" i="2"/>
  <c r="BX28" i="2"/>
  <c r="BW28" i="2"/>
  <c r="BV28" i="2"/>
  <c r="CA27" i="2"/>
  <c r="BZ27" i="2"/>
  <c r="BY27" i="2"/>
  <c r="BX27" i="2"/>
  <c r="BW27" i="2"/>
  <c r="BV27" i="2"/>
  <c r="CA26" i="2"/>
  <c r="BZ26" i="2"/>
  <c r="BY26" i="2"/>
  <c r="BX26" i="2"/>
  <c r="BW26" i="2"/>
  <c r="BV26" i="2"/>
  <c r="CA25" i="2"/>
  <c r="BZ25" i="2"/>
  <c r="BY25" i="2"/>
  <c r="BX25" i="2"/>
  <c r="BW25" i="2"/>
  <c r="BV25" i="2"/>
  <c r="CA24" i="2"/>
  <c r="BZ24" i="2"/>
  <c r="BY24" i="2"/>
  <c r="BX24" i="2"/>
  <c r="BW24" i="2"/>
  <c r="BV24" i="2"/>
  <c r="CA23" i="2"/>
  <c r="BZ23" i="2"/>
  <c r="BY23" i="2"/>
  <c r="BX23" i="2"/>
  <c r="BW23" i="2"/>
  <c r="BV23" i="2"/>
  <c r="CA22" i="2"/>
  <c r="BZ22" i="2"/>
  <c r="BY22" i="2"/>
  <c r="BX22" i="2"/>
  <c r="BW22" i="2"/>
  <c r="BV22" i="2"/>
  <c r="CA21" i="2"/>
  <c r="BZ21" i="2"/>
  <c r="BY21" i="2"/>
  <c r="BX21" i="2"/>
  <c r="BW21" i="2"/>
  <c r="BV21" i="2"/>
  <c r="CA20" i="2"/>
  <c r="BZ20" i="2"/>
  <c r="BY20" i="2"/>
  <c r="BX20" i="2"/>
  <c r="BW20" i="2"/>
  <c r="BV20" i="2"/>
  <c r="CA19" i="2"/>
  <c r="BZ19" i="2"/>
  <c r="BY19" i="2"/>
  <c r="BX19" i="2"/>
  <c r="BW19" i="2"/>
  <c r="BV19" i="2"/>
  <c r="CA18" i="2"/>
  <c r="BZ18" i="2"/>
  <c r="BY18" i="2"/>
  <c r="BX18" i="2"/>
  <c r="BW18" i="2"/>
  <c r="BV18" i="2"/>
  <c r="CA17" i="2"/>
  <c r="BZ17" i="2"/>
  <c r="BY17" i="2"/>
  <c r="BX17" i="2"/>
  <c r="BW17" i="2"/>
  <c r="BV17" i="2"/>
  <c r="CA16" i="2"/>
  <c r="BZ16" i="2"/>
  <c r="BY16" i="2"/>
  <c r="BX16" i="2"/>
  <c r="BW16" i="2"/>
  <c r="BV16" i="2"/>
  <c r="CA15" i="2"/>
  <c r="BZ15" i="2"/>
  <c r="BY15" i="2"/>
  <c r="BX15" i="2"/>
  <c r="BW15" i="2"/>
  <c r="BV15" i="2"/>
  <c r="CA14" i="2"/>
  <c r="BZ14" i="2"/>
  <c r="BY14" i="2"/>
  <c r="BX14" i="2"/>
  <c r="BW14" i="2"/>
  <c r="BV14" i="2"/>
  <c r="CA13" i="2"/>
  <c r="BZ13" i="2"/>
  <c r="BY13" i="2"/>
  <c r="BX13" i="2"/>
  <c r="BW13" i="2"/>
  <c r="BV13" i="2"/>
  <c r="CA12" i="2"/>
  <c r="BZ12" i="2"/>
  <c r="BY12" i="2"/>
  <c r="BX12" i="2"/>
  <c r="BW12" i="2"/>
  <c r="BV12" i="2"/>
  <c r="CA11" i="2"/>
  <c r="BZ11" i="2"/>
  <c r="BY11" i="2"/>
  <c r="BX11" i="2"/>
  <c r="BW11" i="2"/>
  <c r="BV11" i="2"/>
  <c r="CA10" i="2"/>
  <c r="BZ10" i="2"/>
  <c r="BY10" i="2"/>
  <c r="BX10" i="2"/>
  <c r="BW10" i="2"/>
  <c r="BV10" i="2"/>
  <c r="CA9" i="2"/>
  <c r="BZ9" i="2"/>
  <c r="BY9" i="2"/>
  <c r="BX9" i="2"/>
  <c r="BW9" i="2"/>
  <c r="BV9" i="2"/>
  <c r="CA8" i="2"/>
  <c r="BZ8" i="2"/>
  <c r="BY8" i="2"/>
  <c r="BX8" i="2"/>
  <c r="BW8" i="2"/>
  <c r="BV8" i="2"/>
  <c r="CA7" i="2"/>
  <c r="BZ7" i="2"/>
  <c r="BY7" i="2"/>
  <c r="BX7" i="2"/>
  <c r="BW7" i="2"/>
  <c r="BV7" i="2"/>
  <c r="CA6" i="2"/>
  <c r="BZ6" i="2"/>
  <c r="BY6" i="2"/>
  <c r="BX6" i="2"/>
  <c r="BW6" i="2"/>
  <c r="BV6" i="2"/>
  <c r="CA5" i="2"/>
  <c r="BZ5" i="2"/>
  <c r="BY5" i="2"/>
  <c r="BX5" i="2"/>
  <c r="BW5" i="2"/>
  <c r="BV5" i="2"/>
  <c r="CA4" i="2"/>
  <c r="BZ4" i="2"/>
  <c r="BY4" i="2"/>
  <c r="BX4" i="2"/>
  <c r="BW4" i="2"/>
  <c r="BV4" i="2"/>
  <c r="CA3" i="2"/>
  <c r="BY3" i="2"/>
  <c r="BX3" i="2"/>
  <c r="BW3" i="2"/>
  <c r="BV3" i="2"/>
  <c r="BZ2" i="2"/>
  <c r="CA2" i="2" s="1"/>
  <c r="BY2" i="2"/>
  <c r="BX2" i="2"/>
  <c r="BW2" i="2"/>
  <c r="B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cevkthuynh</author>
  </authors>
  <commentList>
    <comment ref="BY1" authorId="0" shapeId="0" xr:uid="{00000000-0006-0000-0100-000001000000}">
      <text>
        <r>
          <rPr>
            <b/>
            <sz val="9"/>
            <rFont val="Times New Roman"/>
          </rPr>
          <t>cevkthuynh:</t>
        </r>
        <r>
          <rPr>
            <sz val="9"/>
            <rFont val="Times New Roman"/>
          </rPr>
          <t xml:space="preserve">
TotalCorrectionCnt &gt;0 or NC ở nhuộm -&gt; NG</t>
        </r>
      </text>
    </comment>
    <comment ref="CA1" authorId="0" shapeId="0" xr:uid="{00000000-0006-0000-0100-000002000000}">
      <text>
        <r>
          <rPr>
            <b/>
            <sz val="9"/>
            <rFont val="Times New Roman"/>
          </rPr>
          <t>cevkthuynh:</t>
        </r>
        <r>
          <rPr>
            <sz val="9"/>
            <rFont val="Times New Roman"/>
          </rPr>
          <t xml:space="preserve">
Newbatch quay lại nhuộm  -&gt; “rework”, totalCorection &gt;0 -&gt; “Adjustment”</t>
        </r>
      </text>
    </comment>
  </commentList>
</comments>
</file>

<file path=xl/sharedStrings.xml><?xml version="1.0" encoding="utf-8"?>
<sst xmlns="http://schemas.openxmlformats.org/spreadsheetml/2006/main" count="1534" uniqueCount="695">
  <si>
    <t>Count of Dyelot</t>
  </si>
  <si>
    <t>STAGE</t>
  </si>
  <si>
    <t>DyeingRFT</t>
  </si>
  <si>
    <t>lab to bulk</t>
  </si>
  <si>
    <t>lab to bulk Total</t>
  </si>
  <si>
    <t>bulk to bulk</t>
  </si>
  <si>
    <t>bulk to bulk Total</t>
  </si>
  <si>
    <t>2nd batch</t>
  </si>
  <si>
    <t>2nd batch Total</t>
  </si>
  <si>
    <t>Grand Total</t>
  </si>
  <si>
    <t>FabricType</t>
  </si>
  <si>
    <t>NG</t>
  </si>
  <si>
    <t>OK</t>
  </si>
  <si>
    <t>Cotton</t>
  </si>
  <si>
    <t>CVC</t>
  </si>
  <si>
    <t>Polyester</t>
  </si>
  <si>
    <t>MachineGroup2</t>
  </si>
  <si>
    <t>&gt;=500kg</t>
  </si>
  <si>
    <t>ReworkCount</t>
  </si>
  <si>
    <t>Adjustment</t>
  </si>
  <si>
    <t>Rework</t>
  </si>
  <si>
    <t>Customer</t>
  </si>
  <si>
    <t>Color</t>
  </si>
  <si>
    <t>OrderNo</t>
  </si>
  <si>
    <t>GreigeCode</t>
  </si>
  <si>
    <t>RecipeNo</t>
  </si>
  <si>
    <t>ColourNo</t>
  </si>
  <si>
    <t>Shade</t>
  </si>
  <si>
    <t>Machine</t>
  </si>
  <si>
    <t>MachineGroup</t>
  </si>
  <si>
    <t>Dyelot</t>
  </si>
  <si>
    <t>TreatmentProgram</t>
  </si>
  <si>
    <t>BatchState</t>
  </si>
  <si>
    <t>FormulaCode</t>
  </si>
  <si>
    <t>FormulaType</t>
  </si>
  <si>
    <t>ReDye</t>
  </si>
  <si>
    <t>Weight</t>
  </si>
  <si>
    <t>ProcessType</t>
  </si>
  <si>
    <t>BatchType</t>
  </si>
  <si>
    <t>LiquorRatio</t>
  </si>
  <si>
    <t>LiquorQuantity</t>
  </si>
  <si>
    <t>WeightPerArea</t>
  </si>
  <si>
    <t>GreigeWidth</t>
  </si>
  <si>
    <t>ReelSpeed</t>
  </si>
  <si>
    <t>PumpSpeed</t>
  </si>
  <si>
    <t>MaxReelSpeed</t>
  </si>
  <si>
    <t>Absortion</t>
  </si>
  <si>
    <t>Nozzle</t>
  </si>
  <si>
    <t>SapLot</t>
  </si>
  <si>
    <t>CustomerCode</t>
  </si>
  <si>
    <t>CustomerPO</t>
  </si>
  <si>
    <t>CustomerColor</t>
  </si>
  <si>
    <t>FabricCode</t>
  </si>
  <si>
    <t>WoQty</t>
  </si>
  <si>
    <t>FabricContent</t>
  </si>
  <si>
    <t>Note1</t>
  </si>
  <si>
    <t>Note2</t>
  </si>
  <si>
    <t>Note3</t>
  </si>
  <si>
    <t>Note4</t>
  </si>
  <si>
    <t>Note5</t>
  </si>
  <si>
    <t>ScheduleTime</t>
  </si>
  <si>
    <t>StartTime</t>
  </si>
  <si>
    <t>EndTime</t>
  </si>
  <si>
    <t>RunTime</t>
  </si>
  <si>
    <t>SetTime</t>
  </si>
  <si>
    <t>StopTime</t>
  </si>
  <si>
    <t>OperatorTime</t>
  </si>
  <si>
    <t>CorrectionTime</t>
  </si>
  <si>
    <t>ManualTime</t>
  </si>
  <si>
    <t>StopAlarmTime</t>
  </si>
  <si>
    <t>HoldAlarmTime</t>
  </si>
  <si>
    <t>DiffTime</t>
  </si>
  <si>
    <t>Percent</t>
  </si>
  <si>
    <t>SoftWater</t>
  </si>
  <si>
    <t>HotWater</t>
  </si>
  <si>
    <t>HardWater</t>
  </si>
  <si>
    <t>MixWater</t>
  </si>
  <si>
    <t>SumAllTypeWater</t>
  </si>
  <si>
    <t>WaterxKg</t>
  </si>
  <si>
    <t>Power</t>
  </si>
  <si>
    <t>PowerxKg</t>
  </si>
  <si>
    <t>HeatingEnergy</t>
  </si>
  <si>
    <t>SteamxKg</t>
  </si>
  <si>
    <t>CorrectionCnt</t>
  </si>
  <si>
    <t>AlarmCnt</t>
  </si>
  <si>
    <t>InterventionCnt</t>
  </si>
  <si>
    <t>DyeCost</t>
  </si>
  <si>
    <t>ChemicalCost</t>
  </si>
  <si>
    <t>TotalCorrectionCnt</t>
  </si>
  <si>
    <t>WashingCorrection</t>
  </si>
  <si>
    <t>DyestuffCorrrection</t>
  </si>
  <si>
    <t>ChemicalCorrrection</t>
  </si>
  <si>
    <t>FuyangRequest</t>
  </si>
  <si>
    <t>Note</t>
  </si>
  <si>
    <t>NewBatch</t>
  </si>
  <si>
    <t>UNIQLO</t>
  </si>
  <si>
    <t/>
  </si>
  <si>
    <t>9V2609614</t>
  </si>
  <si>
    <t>9V00-0000880</t>
  </si>
  <si>
    <t>NO-TC26E1108-RIB-FY06-BRINE</t>
  </si>
  <si>
    <t>36 BROWN</t>
  </si>
  <si>
    <t>Dark</t>
  </si>
  <si>
    <t>D511</t>
  </si>
  <si>
    <t>G600</t>
  </si>
  <si>
    <t>C260708660</t>
  </si>
  <si>
    <t>0002/4224/2209/3242/5204/6235/7001/9999</t>
  </si>
  <si>
    <t>finished</t>
  </si>
  <si>
    <t>03-Chỉnh tay không mẫu</t>
  </si>
  <si>
    <t>dyeing</t>
  </si>
  <si>
    <t>Normal</t>
  </si>
  <si>
    <t>1000138655</t>
  </si>
  <si>
    <t>S-D0NGOC</t>
  </si>
  <si>
    <t>9F00-0003013-00000041</t>
  </si>
  <si>
    <t>59.5% Cotton 40.5% Polyester</t>
  </si>
  <si>
    <t>03-NG</t>
  </si>
  <si>
    <t>FYR0048404</t>
  </si>
  <si>
    <t>9V2609574</t>
  </si>
  <si>
    <t>9V00-0000826</t>
  </si>
  <si>
    <t>NO-C26F2201-RIB(TC)-FY02-BRINE</t>
  </si>
  <si>
    <t>S7 60S-BLUE</t>
  </si>
  <si>
    <t>Light</t>
  </si>
  <si>
    <t>D512</t>
  </si>
  <si>
    <t>C260709570</t>
  </si>
  <si>
    <t>0016/4224/2221/3200/5202/6233/9999</t>
  </si>
  <si>
    <t>06-Khác nhóm máy/lot sợi/dung tỷ</t>
  </si>
  <si>
    <t>1000138889</t>
  </si>
  <si>
    <t>S-H8M2LF</t>
  </si>
  <si>
    <t>9F00-0002375-00000085</t>
  </si>
  <si>
    <t>72.5% Cotton 27.5% Polyester</t>
  </si>
  <si>
    <t>*cho xe ra vai+cho khach hang di*</t>
  </si>
  <si>
    <t>06-NG # BON, CAT 2 YARD TINH LUYEN</t>
  </si>
  <si>
    <t>FYR0048121</t>
  </si>
  <si>
    <t>PUMA</t>
  </si>
  <si>
    <t>9V2609544</t>
  </si>
  <si>
    <t>9V00-0000806</t>
  </si>
  <si>
    <t>NO-T23K0119B-FY17-O</t>
  </si>
  <si>
    <t>137-95-00-PUMA WHITE</t>
  </si>
  <si>
    <t>D513</t>
  </si>
  <si>
    <t>C260713440</t>
  </si>
  <si>
    <t>0016/1201/2201/3200/7005/9999</t>
  </si>
  <si>
    <t>08-So theo  QC OK&lt;2batches</t>
  </si>
  <si>
    <t>1000142018</t>
  </si>
  <si>
    <t>S-J6M0MA</t>
  </si>
  <si>
    <t>9F00-0002348-00000011</t>
  </si>
  <si>
    <t>100% Recycle Polyester</t>
  </si>
  <si>
    <t>*cho xe ra vai*</t>
  </si>
  <si>
    <t>08-OK ST C260689600</t>
  </si>
  <si>
    <t>FYR0045630</t>
  </si>
  <si>
    <t>ANF</t>
  </si>
  <si>
    <t>9V2609455</t>
  </si>
  <si>
    <t>9V00-0000953</t>
  </si>
  <si>
    <t>NO-TC25G1809-FY39</t>
  </si>
  <si>
    <t>19-4205 TCX-PHANTOM</t>
  </si>
  <si>
    <t>DA02</t>
  </si>
  <si>
    <t>G1200</t>
  </si>
  <si>
    <t>C260703920</t>
  </si>
  <si>
    <t>0002/4226/2203/3242/5204/6235/9999</t>
  </si>
  <si>
    <t>1000133873</t>
  </si>
  <si>
    <t>S-CDN1M2</t>
  </si>
  <si>
    <t>9F00-0002976-00000002</t>
  </si>
  <si>
    <t>70.86% Cotton 29.14% Recycle Polyester</t>
  </si>
  <si>
    <r>
      <rPr>
        <sz val="11"/>
        <color theme="1"/>
        <rFont val="Calibri"/>
        <charset val="134"/>
      </rPr>
      <t>08-OK ST C260703910</t>
    </r>
    <r>
      <rPr>
        <sz val="11"/>
        <color theme="1"/>
        <rFont val="Arial"/>
        <charset val="134"/>
      </rPr>
      <t xml:space="preserve">	</t>
    </r>
  </si>
  <si>
    <t>FYR0047610</t>
  </si>
  <si>
    <t>9V2608768</t>
  </si>
  <si>
    <t>9V00-0000975</t>
  </si>
  <si>
    <t>NO-TR26E0712-FY05</t>
  </si>
  <si>
    <t>00O WHITE</t>
  </si>
  <si>
    <t>D507</t>
  </si>
  <si>
    <t>C260703140</t>
  </si>
  <si>
    <t>0016/4220/5231/3200/9999</t>
  </si>
  <si>
    <t>1000120189</t>
  </si>
  <si>
    <t>S-IIMCM5</t>
  </si>
  <si>
    <t>9F00-0003050-00000042</t>
  </si>
  <si>
    <t>76.32% Polyester 19.08% Lyocell 4.6% Elastane</t>
  </si>
  <si>
    <t>*CHO XAC NHAN CT*</t>
  </si>
  <si>
    <t>03-NG, THE DAU, CAT 2Y VAI</t>
  </si>
  <si>
    <t>FYR0047175</t>
  </si>
  <si>
    <t>9V2609089</t>
  </si>
  <si>
    <t>9V00-0000971</t>
  </si>
  <si>
    <t>NO-TC26H2501-FY10-BRINE</t>
  </si>
  <si>
    <t>S7 18-WINE</t>
  </si>
  <si>
    <t>D506</t>
  </si>
  <si>
    <t>C260696870</t>
  </si>
  <si>
    <t>0002/4254/2241/3246/5203/6235/7001/9999</t>
  </si>
  <si>
    <t>02-So theo DYE-OK</t>
  </si>
  <si>
    <t>1000128354</t>
  </si>
  <si>
    <t>S-CBP1NC</t>
  </si>
  <si>
    <t>9F00-0003011-00000047</t>
  </si>
  <si>
    <t>69.6% Cotton 30.4% Polyester</t>
  </si>
  <si>
    <t>02-OK ST C260696850</t>
  </si>
  <si>
    <t>FYR0047536</t>
  </si>
  <si>
    <t>9V2609312</t>
  </si>
  <si>
    <t>9V00-0000871</t>
  </si>
  <si>
    <t>C25E0701-FY39</t>
  </si>
  <si>
    <t>WHITE-MGKH</t>
  </si>
  <si>
    <t>DA03</t>
  </si>
  <si>
    <t>C260698910</t>
  </si>
  <si>
    <t>0016/4233/5201/7005/9999</t>
  </si>
  <si>
    <t>09-So theo QC-OK</t>
  </si>
  <si>
    <t>1000130825</t>
  </si>
  <si>
    <t>S-J7N2L3</t>
  </si>
  <si>
    <t>9F00-0002652-00000015</t>
  </si>
  <si>
    <t>100% Cotton</t>
  </si>
  <si>
    <t>09-OK ST C260698870/C260698850</t>
  </si>
  <si>
    <t>FYR0048425</t>
  </si>
  <si>
    <t>9V2609518</t>
  </si>
  <si>
    <t>9V00-0000848</t>
  </si>
  <si>
    <t>NO-AR25A0603-FY14</t>
  </si>
  <si>
    <t>09 BLACK-MGKH</t>
  </si>
  <si>
    <t>Medium</t>
  </si>
  <si>
    <t>D514</t>
  </si>
  <si>
    <t>C260708100</t>
  </si>
  <si>
    <t>0002/1207/2207/3237/5206/6214/9999</t>
  </si>
  <si>
    <t>1000138313</t>
  </si>
  <si>
    <t>S-BBN1MA</t>
  </si>
  <si>
    <t>9F00-0002502-00000013</t>
  </si>
  <si>
    <t>70% Acrylic 30% Viscose</t>
  </si>
  <si>
    <t>08-OK ST C260706420 (MA)</t>
  </si>
  <si>
    <t>FYR0047840</t>
  </si>
  <si>
    <t>9V2609528</t>
  </si>
  <si>
    <t>9V00-0000875</t>
  </si>
  <si>
    <t>NO-TC26I0315-FY04-BRINE</t>
  </si>
  <si>
    <t>S7 71R -PURPLE</t>
  </si>
  <si>
    <t>D508</t>
  </si>
  <si>
    <t>C260708230</t>
  </si>
  <si>
    <t>0016/4254/2242/3200/5202/6233/9999</t>
  </si>
  <si>
    <t>1000137920</t>
  </si>
  <si>
    <t>S-GFO1M2</t>
  </si>
  <si>
    <t>9F00-0002684-00000046</t>
  </si>
  <si>
    <t>69.7% Cotton 30.3% Polyester</t>
  </si>
  <si>
    <t>*CHO SS01</t>
  </si>
  <si>
    <t>08-OK ST C260708220 (SUA PHAN LOAI)</t>
  </si>
  <si>
    <t>FYR0048221</t>
  </si>
  <si>
    <t>9V2609191</t>
  </si>
  <si>
    <t>9V00-0000269</t>
  </si>
  <si>
    <t>NO-T25J2212A-FY05</t>
  </si>
  <si>
    <t>117-32-06-BLUE GRAY</t>
  </si>
  <si>
    <t>H801</t>
  </si>
  <si>
    <t>C800</t>
  </si>
  <si>
    <t>C260698120</t>
  </si>
  <si>
    <t>0001/1201/2222/3242/9999</t>
  </si>
  <si>
    <t>01-Lab to bulk</t>
  </si>
  <si>
    <t>1000129238</t>
  </si>
  <si>
    <t>S-D3MCM9</t>
  </si>
  <si>
    <t>9F00-0000423-00000454</t>
  </si>
  <si>
    <t>---</t>
  </si>
  <si>
    <t>KT NHIET MAY</t>
  </si>
  <si>
    <t>1D-01, 2D-02, 3D-02, 4d-02/5C-01/6CD-03</t>
  </si>
  <si>
    <t>01-NG, FYR0047671, THE DAU, CAT 2Y VAI</t>
  </si>
  <si>
    <t>FYR0047671</t>
  </si>
  <si>
    <t>9VS262611</t>
  </si>
  <si>
    <t>9V00-0000775</t>
  </si>
  <si>
    <t>SSNO-T26D0320F-FY03</t>
  </si>
  <si>
    <t>006-26-02-Crystal Black=Dark t</t>
  </si>
  <si>
    <t>D025</t>
  </si>
  <si>
    <t>G25</t>
  </si>
  <si>
    <t>C260709440</t>
  </si>
  <si>
    <t>0001/2223/3242/9999</t>
  </si>
  <si>
    <t>1000138667</t>
  </si>
  <si>
    <t>S-CHN3M0</t>
  </si>
  <si>
    <t>9F00-0002904-00000019</t>
  </si>
  <si>
    <t>01-NG, FYR0048220</t>
  </si>
  <si>
    <t>FYR0048220</t>
  </si>
  <si>
    <t>ADIDAS</t>
  </si>
  <si>
    <t>9V2609775</t>
  </si>
  <si>
    <t>9V00-0000364</t>
  </si>
  <si>
    <t>NO-T23J0320A-FY21</t>
  </si>
  <si>
    <t xml:space="preserve">117A-NIGHT INDIGO </t>
  </si>
  <si>
    <t>1603</t>
  </si>
  <si>
    <t>C1600</t>
  </si>
  <si>
    <t>C260715770</t>
  </si>
  <si>
    <t>1000143249</t>
  </si>
  <si>
    <t>S-BGN0MB</t>
  </si>
  <si>
    <t>9F00-0000574-00000404</t>
  </si>
  <si>
    <t>*CHO XE RA VAI*</t>
  </si>
  <si>
    <t>08-OK ST C260695190 (MA)</t>
  </si>
  <si>
    <t>FYR0048907</t>
  </si>
  <si>
    <t>9V2608844</t>
  </si>
  <si>
    <t>9V00-0001129</t>
  </si>
  <si>
    <t>NO-C26E1201-FY13-DO01</t>
  </si>
  <si>
    <t xml:space="preserve">BLACK </t>
  </si>
  <si>
    <t>DO01</t>
  </si>
  <si>
    <t>G2400</t>
  </si>
  <si>
    <t>C260692250</t>
  </si>
  <si>
    <t>0002/4249/5212/6235/7001/9999</t>
  </si>
  <si>
    <t>1000124543</t>
  </si>
  <si>
    <t>S-B7N0MB</t>
  </si>
  <si>
    <t>9F00-0003429-00000003</t>
  </si>
  <si>
    <t>06-NG # LOT SOI, GOP C260692240</t>
  </si>
  <si>
    <t>FYR0048665</t>
  </si>
  <si>
    <t>9V2609320</t>
  </si>
  <si>
    <t>NO-T25K0302-FY08-O</t>
  </si>
  <si>
    <t>C260701740</t>
  </si>
  <si>
    <t>0016/2201/3200/7005/9999</t>
  </si>
  <si>
    <t>1000132726</t>
  </si>
  <si>
    <t>9F00-0002585-00000001</t>
  </si>
  <si>
    <t>01-NG, FYR0047327, THE DAU, CAT 2Y VAI</t>
  </si>
  <si>
    <t>FYR0047327</t>
  </si>
  <si>
    <t>NO-C26C1601-FY14</t>
  </si>
  <si>
    <t>00D WHITE</t>
  </si>
  <si>
    <t>DO02</t>
  </si>
  <si>
    <t>C260691760</t>
  </si>
  <si>
    <t>0016/4249/5201/7005/9999</t>
  </si>
  <si>
    <t>1000124478</t>
  </si>
  <si>
    <t>S-JINCLB</t>
  </si>
  <si>
    <t>9F00-0003429-00000004</t>
  </si>
  <si>
    <t>CBA 1G/L TRONG NHUOM</t>
  </si>
  <si>
    <t>06-NG, GOP# LOT SOI C260691740, CAT VAI 2 THE XEM MAU</t>
  </si>
  <si>
    <t>FYR0048656</t>
  </si>
  <si>
    <t>9V2609694</t>
  </si>
  <si>
    <t>RICK135I001A</t>
  </si>
  <si>
    <t>DG03-NO-C26E1607-TRIM-FY05-BRINE</t>
  </si>
  <si>
    <t>56AA</t>
  </si>
  <si>
    <t>D257</t>
  </si>
  <si>
    <t>G300</t>
  </si>
  <si>
    <t>C260712940</t>
  </si>
  <si>
    <t>0002/8099/5203/6234/7001/9999</t>
  </si>
  <si>
    <t>1000141706</t>
  </si>
  <si>
    <t>S-E1MAO2</t>
  </si>
  <si>
    <t>9F00-0003431-00000002</t>
  </si>
  <si>
    <t>VAI TRONG MAY ,TINH LUYEN OK CHO NHUOM R</t>
  </si>
  <si>
    <t>FYR0048504</t>
  </si>
  <si>
    <t>9V2609270</t>
  </si>
  <si>
    <t>9V00-0001006</t>
  </si>
  <si>
    <t>NO-T25K1701A-FY04-O</t>
  </si>
  <si>
    <t>D253</t>
  </si>
  <si>
    <t>C260713580</t>
  </si>
  <si>
    <t>1000142101</t>
  </si>
  <si>
    <t>9F00-0003144-00000001</t>
  </si>
  <si>
    <t>06-NG, KHAC BON</t>
  </si>
  <si>
    <t>FYR0048592</t>
  </si>
  <si>
    <t>9V2609088</t>
  </si>
  <si>
    <t>NO-TC26H2502-FY07-BRINE</t>
  </si>
  <si>
    <t>S7 51-GREEN</t>
  </si>
  <si>
    <t>D509</t>
  </si>
  <si>
    <t>C260697020</t>
  </si>
  <si>
    <t>1000128377</t>
  </si>
  <si>
    <t>S-HAMEPB</t>
  </si>
  <si>
    <t>9F00-0002684-00000042</t>
  </si>
  <si>
    <r>
      <rPr>
        <sz val="11"/>
        <color theme="1"/>
        <rFont val="Calibri"/>
        <charset val="134"/>
      </rPr>
      <t>08-OK ST C260696970</t>
    </r>
    <r>
      <rPr>
        <sz val="11"/>
        <color theme="1"/>
        <rFont val="Arial"/>
        <charset val="134"/>
      </rPr>
      <t xml:space="preserve">	</t>
    </r>
  </si>
  <si>
    <t>FYR0046914</t>
  </si>
  <si>
    <t>9V2609693</t>
  </si>
  <si>
    <t>9V00-0001130</t>
  </si>
  <si>
    <t>NO-C26F1806E-RIB-(TC)-FY06</t>
  </si>
  <si>
    <t>S7 30S-NATURAL</t>
  </si>
  <si>
    <t>1402</t>
  </si>
  <si>
    <t>C260712980</t>
  </si>
  <si>
    <t>0016/4224/2239/3200/5202/6233/9999</t>
  </si>
  <si>
    <t>1000141710</t>
  </si>
  <si>
    <t>S-GHNDN8</t>
  </si>
  <si>
    <t>9F00-0003430-00000011</t>
  </si>
  <si>
    <t>78.8% Cotton 21.2% Polyester</t>
  </si>
  <si>
    <t>03-NG, GOP C260712970, THE DAU, CAT 2Y VAI</t>
  </si>
  <si>
    <t>FYR0048516</t>
  </si>
  <si>
    <t>9V2610072</t>
  </si>
  <si>
    <t>9V00-0000872</t>
  </si>
  <si>
    <t>NO-C25E0602-FY20-BRINE</t>
  </si>
  <si>
    <t>69 NAVY</t>
  </si>
  <si>
    <t>D510</t>
  </si>
  <si>
    <t>C260716760</t>
  </si>
  <si>
    <t>0016/4219/5204/6220/7001/9999</t>
  </si>
  <si>
    <t>1000144313</t>
  </si>
  <si>
    <t>S-BINCMF</t>
  </si>
  <si>
    <t>9F00-0002653-00000008</t>
  </si>
  <si>
    <t>08-OK ST C260649510</t>
  </si>
  <si>
    <t>FYR0048984</t>
  </si>
  <si>
    <t>9V2609719</t>
  </si>
  <si>
    <t>NO-C25E0702-FY21</t>
  </si>
  <si>
    <t>GRAY 30E</t>
  </si>
  <si>
    <t>DA04</t>
  </si>
  <si>
    <t>C260712530</t>
  </si>
  <si>
    <t>0002/4219/5202/6207/9999</t>
  </si>
  <si>
    <t>1000141340</t>
  </si>
  <si>
    <t>S-GDNDMB</t>
  </si>
  <si>
    <t>9F00-0002652-00000012</t>
  </si>
  <si>
    <t>06-NG, GOP#LOT C260712540, CAT VAI 2 THE XEM MAU</t>
  </si>
  <si>
    <t>FYR0048526</t>
  </si>
  <si>
    <t>NO-C26F1808B-RIB-TC-FY03-BRINE</t>
  </si>
  <si>
    <t>DT01</t>
  </si>
  <si>
    <t>C260713060</t>
  </si>
  <si>
    <t>1000141718</t>
  </si>
  <si>
    <t>S-G3N8MD</t>
  </si>
  <si>
    <t>9F00-0003430-00000012</t>
  </si>
  <si>
    <t xml:space="preserve">06-NG # LOT SOI. GOP C260713050
</t>
  </si>
  <si>
    <t>FYR0048644</t>
  </si>
  <si>
    <t>9VS263665</t>
  </si>
  <si>
    <t>9V00-0000774</t>
  </si>
  <si>
    <t>NO-T26I1810C-FY01</t>
  </si>
  <si>
    <t>153-84-13-WHISP OF PINK</t>
  </si>
  <si>
    <t>0101</t>
  </si>
  <si>
    <t>C100</t>
  </si>
  <si>
    <t>C260712170</t>
  </si>
  <si>
    <t>0001/1201/2270/3200/9999</t>
  </si>
  <si>
    <t>05-Đổi hóa chất/chương trình</t>
  </si>
  <si>
    <t>1000138677</t>
  </si>
  <si>
    <t>S-IIOCM2</t>
  </si>
  <si>
    <t>9F00-0002669-00000119</t>
  </si>
  <si>
    <t>05-NG, CT SAMPLE</t>
  </si>
  <si>
    <t>FYR0048131</t>
  </si>
  <si>
    <t>9V2609001</t>
  </si>
  <si>
    <t>NO-C26G1301D-FY06-TEST</t>
  </si>
  <si>
    <t>18-0928 TCX-35 BROWN</t>
  </si>
  <si>
    <t>DA05</t>
  </si>
  <si>
    <t>C260693000</t>
  </si>
  <si>
    <t>0002/4249/5203/9530/7001/9999</t>
  </si>
  <si>
    <t>1000124744</t>
  </si>
  <si>
    <t>S-D8NHO7</t>
  </si>
  <si>
    <t>9F00-0003429-00000006</t>
  </si>
  <si>
    <t>06-NG, KHAC LOT SOI, THE DAU, CAT 2Y VAI</t>
  </si>
  <si>
    <t>FYR0048661</t>
  </si>
  <si>
    <t>9V2610071</t>
  </si>
  <si>
    <t>NO-C25G1406-FY09</t>
  </si>
  <si>
    <t>53 GREEN</t>
  </si>
  <si>
    <t>1401</t>
  </si>
  <si>
    <t>C260716910</t>
  </si>
  <si>
    <t>1000144477</t>
  </si>
  <si>
    <t>S-G2M5N3</t>
  </si>
  <si>
    <t>9F00-0002652-00000014</t>
  </si>
  <si>
    <t>ONG LY XAC NHN KO TAY*CHUA CO XE RA VAI*</t>
  </si>
  <si>
    <t>FYR0049060</t>
  </si>
  <si>
    <t>9V2609780</t>
  </si>
  <si>
    <t>9V00-0001029</t>
  </si>
  <si>
    <t>NO-TP26D0622A-FY05</t>
  </si>
  <si>
    <t>AJ9F-Bright Pink</t>
  </si>
  <si>
    <t>D256</t>
  </si>
  <si>
    <t>C260715020</t>
  </si>
  <si>
    <t>0016/1205/2270/3242/9999</t>
  </si>
  <si>
    <t>1000143228</t>
  </si>
  <si>
    <t>S-GJQ8MD</t>
  </si>
  <si>
    <t>9F00-0003213-00000005</t>
  </si>
  <si>
    <t>83.2% Recycled Polyester + 16.8% Elastane</t>
  </si>
  <si>
    <t>01-NG, FYR0042756, CAT 2Y VAI, NHUOM MAY H</t>
  </si>
  <si>
    <t>FYR0049076</t>
  </si>
  <si>
    <t>9V2609745</t>
  </si>
  <si>
    <t>9V00-0000984</t>
  </si>
  <si>
    <t>NO-C26E1110-RIB(TC)-FY03-C260714650</t>
  </si>
  <si>
    <t xml:space="preserve">43T YELLOW </t>
  </si>
  <si>
    <t>D059</t>
  </si>
  <si>
    <t>G50</t>
  </si>
  <si>
    <t>C260714650</t>
  </si>
  <si>
    <t>0016/8089/2239/3200/5202/6228/9999</t>
  </si>
  <si>
    <t>04-So theo DYE-NG</t>
  </si>
  <si>
    <t>1000142929</t>
  </si>
  <si>
    <t>S-I2N7RH</t>
  </si>
  <si>
    <t>9F00-0003078-00000013</t>
  </si>
  <si>
    <t>65.3% Cotton 34.7% Polyester</t>
  </si>
  <si>
    <t>VAI TRONG MAY TINH LUYEN OK GIAO NHUOM</t>
  </si>
  <si>
    <t>80*15 1011 2G/L TRUOC NHUOM</t>
  </si>
  <si>
    <t>04-NG BAC DING XEM MAU</t>
  </si>
  <si>
    <t>FYR0048705</t>
  </si>
  <si>
    <t>9V2608603</t>
  </si>
  <si>
    <t>9V00-0001097</t>
  </si>
  <si>
    <t>NO-T26E2203C-FY10</t>
  </si>
  <si>
    <t>001A-White CONST FW14</t>
  </si>
  <si>
    <t>C260687920</t>
  </si>
  <si>
    <t>1000119999</t>
  </si>
  <si>
    <t>S-JHN2L0</t>
  </si>
  <si>
    <t>9F00-0003344-00000003</t>
  </si>
  <si>
    <t>100% Recycled Polyester</t>
  </si>
  <si>
    <t>08-OK CT K ON DINH, THEO DOI THEM</t>
  </si>
  <si>
    <t>FYR0046992</t>
  </si>
  <si>
    <t>9VS263732</t>
  </si>
  <si>
    <t>9V00-0000812</t>
  </si>
  <si>
    <t>NO-T26I2212-FY01</t>
  </si>
  <si>
    <t>148-30-21-PLUM VELVET</t>
  </si>
  <si>
    <t>D027</t>
  </si>
  <si>
    <t>C260714870</t>
  </si>
  <si>
    <t>07-Labdip</t>
  </si>
  <si>
    <t>1000142784</t>
  </si>
  <si>
    <t>S-DBPFL1</t>
  </si>
  <si>
    <t>9F00-0002416-00000207</t>
  </si>
  <si>
    <t>53</t>
  </si>
  <si>
    <t>07-NG, CT SAMPLE</t>
  </si>
  <si>
    <t>FYR0048775</t>
  </si>
  <si>
    <t>NO-TR26E0712-FY06-BRINE</t>
  </si>
  <si>
    <t>C260703150</t>
  </si>
  <si>
    <t>1000120190</t>
  </si>
  <si>
    <t>03-NG, THE DAU</t>
  </si>
  <si>
    <t>9V2609489</t>
  </si>
  <si>
    <t>9V00-0000982</t>
  </si>
  <si>
    <t>NO-C26C2304-FY05-BRINE</t>
  </si>
  <si>
    <t>61AB BLUE</t>
  </si>
  <si>
    <t>C260705800</t>
  </si>
  <si>
    <t>0016/4249/5202/3223/9999</t>
  </si>
  <si>
    <t>1000135949</t>
  </si>
  <si>
    <t>S-H5M9LD</t>
  </si>
  <si>
    <t>9F00-0003076-00000004</t>
  </si>
  <si>
    <t>TY TRONG MUOI 1.02</t>
  </si>
  <si>
    <t>04-NG ST C260705790</t>
  </si>
  <si>
    <t>FYR0047734</t>
  </si>
  <si>
    <t>NO-AR25A0603-FY15-C260708100</t>
  </si>
  <si>
    <t>0002/8099/5206/6214/9999</t>
  </si>
  <si>
    <t>CHI LAI CT MAUR</t>
  </si>
  <si>
    <t>NoFuyangRequest</t>
  </si>
  <si>
    <t>9V2609621</t>
  </si>
  <si>
    <t>9V00-0000878</t>
  </si>
  <si>
    <t>NO-C26F1612-RIB(TC)-FY05-BRINE</t>
  </si>
  <si>
    <t>30B-VANILLE</t>
  </si>
  <si>
    <t>D503</t>
  </si>
  <si>
    <t>G500</t>
  </si>
  <si>
    <t>C260709470</t>
  </si>
  <si>
    <t>0016/4224/2239/3200/5202/6239/9999</t>
  </si>
  <si>
    <t>1000138670</t>
  </si>
  <si>
    <t>S-I5MAOB</t>
  </si>
  <si>
    <t>9F00-0002663-00000077</t>
  </si>
  <si>
    <t>64.7% Cotton 35.3% Polyester</t>
  </si>
  <si>
    <t>*CHO DINH BIEN,CHO XE RA VAI *</t>
  </si>
  <si>
    <t>05-NG DOI SOPAING 878</t>
  </si>
  <si>
    <t>FYR0048137</t>
  </si>
  <si>
    <t>C260691730</t>
  </si>
  <si>
    <t>1000124475</t>
  </si>
  <si>
    <t>08-OK ST C260687110, GOP C260691790</t>
  </si>
  <si>
    <t>9V2609539</t>
  </si>
  <si>
    <t>NO-T22L1301A1-FY16</t>
  </si>
  <si>
    <t>005-18-00-PUMA BLACK</t>
  </si>
  <si>
    <t>1605</t>
  </si>
  <si>
    <t>C260710730</t>
  </si>
  <si>
    <t>1000140315</t>
  </si>
  <si>
    <t>S-BHN1MA</t>
  </si>
  <si>
    <t>9F00-0002416-00000001</t>
  </si>
  <si>
    <t>04-NG ST C260710740</t>
  </si>
  <si>
    <t>FYR0048418</t>
  </si>
  <si>
    <t>9V2609555</t>
  </si>
  <si>
    <t>9V00-0000390</t>
  </si>
  <si>
    <t>NO-T23K0118D-RIB-FY01</t>
  </si>
  <si>
    <t>012-40-36-PUMA RED</t>
  </si>
  <si>
    <t>D026</t>
  </si>
  <si>
    <t>C260712340</t>
  </si>
  <si>
    <t>0001/1201/2204/3242/9999</t>
  </si>
  <si>
    <t>1000140318</t>
  </si>
  <si>
    <t>S-E3S7QE</t>
  </si>
  <si>
    <t>9F00-0000602-00000186</t>
  </si>
  <si>
    <t>CHOWWA01</t>
  </si>
  <si>
    <t>05-NG BO SS20, THEO DOI</t>
  </si>
  <si>
    <t>FYR0048407</t>
  </si>
  <si>
    <t>1604</t>
  </si>
  <si>
    <t>C260715780</t>
  </si>
  <si>
    <t>1000143250</t>
  </si>
  <si>
    <t>JINNAT KNITWEARS LTD</t>
  </si>
  <si>
    <t>9VS263582</t>
  </si>
  <si>
    <t>NO-T24G0402A-FY09</t>
  </si>
  <si>
    <t>000-64-00-GRAY ECHO</t>
  </si>
  <si>
    <t>D021</t>
  </si>
  <si>
    <t>C260708460</t>
  </si>
  <si>
    <t>0001/1201/2221/3200/9999</t>
  </si>
  <si>
    <t>1000135836</t>
  </si>
  <si>
    <t>S-GGM1MA</t>
  </si>
  <si>
    <t>9F00-0002669-00000009</t>
  </si>
  <si>
    <t>dc dap mau</t>
  </si>
  <si>
    <t>1D-03</t>
  </si>
  <si>
    <t>01-NG, FYR0048335</t>
  </si>
  <si>
    <t>FYR0048335</t>
  </si>
  <si>
    <t>NO-C26D0202-RIB(TC)-FY10</t>
  </si>
  <si>
    <t>08 DARK GRAY</t>
  </si>
  <si>
    <t>1403</t>
  </si>
  <si>
    <t>C260712960</t>
  </si>
  <si>
    <t>0002/4224/2239/3200/5215/6234/7001/9999</t>
  </si>
  <si>
    <t>1000141708</t>
  </si>
  <si>
    <t>S-C8N0N1</t>
  </si>
  <si>
    <t>9F00-0003430-00000005</t>
  </si>
  <si>
    <t>*CHO XE RA VAI *</t>
  </si>
  <si>
    <t xml:space="preserve">04-NG ST C260712960, GOP C260712950
</t>
  </si>
  <si>
    <t>FYR0048641</t>
  </si>
  <si>
    <t>9V2609480</t>
  </si>
  <si>
    <t>NO-TC25F0504-FY28</t>
  </si>
  <si>
    <t>BLACK</t>
  </si>
  <si>
    <t>DA01</t>
  </si>
  <si>
    <t>C260707460</t>
  </si>
  <si>
    <t>0001/4247/2241/3246/5206/6208/7001/9999</t>
  </si>
  <si>
    <t>1000137894</t>
  </si>
  <si>
    <t>S-BFM0M1</t>
  </si>
  <si>
    <t>9F00-0003011-00000012</t>
  </si>
  <si>
    <r>
      <rPr>
        <sz val="11"/>
        <color theme="1"/>
        <rFont val="Calibri"/>
        <charset val="134"/>
      </rPr>
      <t>04-NG ST C260707430</t>
    </r>
    <r>
      <rPr>
        <sz val="11"/>
        <color theme="1"/>
        <rFont val="Arial"/>
        <charset val="134"/>
      </rPr>
      <t xml:space="preserve">	</t>
    </r>
  </si>
  <si>
    <t>9V2609744</t>
  </si>
  <si>
    <t>NO-C26E1110-FY06-BRINE</t>
  </si>
  <si>
    <t>43T YELLOW</t>
  </si>
  <si>
    <t>D504</t>
  </si>
  <si>
    <t>C260714690</t>
  </si>
  <si>
    <t>0016/4249/5202/6233/9999</t>
  </si>
  <si>
    <t>1000142870</t>
  </si>
  <si>
    <t>9F00-0003076-00000012</t>
  </si>
  <si>
    <t>TY TRONG 1.025</t>
  </si>
  <si>
    <t>CHO XE RA VAI</t>
  </si>
  <si>
    <t>FYR0048713</t>
  </si>
  <si>
    <t>9V2609266</t>
  </si>
  <si>
    <t>9V00-0000920</t>
  </si>
  <si>
    <t>NO-C26B1202-RIB3-FY04-BRINE</t>
  </si>
  <si>
    <t>19-3911 TCX-BLACK BEAUTY</t>
  </si>
  <si>
    <t>D258</t>
  </si>
  <si>
    <t>C260713510</t>
  </si>
  <si>
    <t>0002/4216/5206/6235/7001/9999</t>
  </si>
  <si>
    <t>1000142102</t>
  </si>
  <si>
    <t>S-B6MAMC</t>
  </si>
  <si>
    <t>9F00-0002856-00000037</t>
  </si>
  <si>
    <t>03-NG, THE DAU, CAT 2Y VAI (SUA PHAN LOAI)</t>
  </si>
  <si>
    <t>FYR0048508</t>
  </si>
  <si>
    <t>C260692160</t>
  </si>
  <si>
    <t>1000124534</t>
  </si>
  <si>
    <t xml:space="preserve">ty trong muoi 1.06 </t>
  </si>
  <si>
    <t>06-NG, GOP#LOT SOI C260692150, CAT VAI 2 THE XEM MAU</t>
  </si>
  <si>
    <t>FYR0048649</t>
  </si>
  <si>
    <t>9V2609538</t>
  </si>
  <si>
    <t>NO-T23F0578A-FY14</t>
  </si>
  <si>
    <t>040-81-40-FASTER YELLOW</t>
  </si>
  <si>
    <t>1203</t>
  </si>
  <si>
    <t>C1200</t>
  </si>
  <si>
    <t>C260710530</t>
  </si>
  <si>
    <t>1000140296</t>
  </si>
  <si>
    <t>S-IENGWF</t>
  </si>
  <si>
    <t>9F00-0002084-00000036</t>
  </si>
  <si>
    <t>08-OK ST C260607190, GOP C260710540, THE DAU, CAT 2Y VAI</t>
  </si>
  <si>
    <t>FYR0048450</t>
  </si>
  <si>
    <t>9V2609572</t>
  </si>
  <si>
    <t>C260708000</t>
  </si>
  <si>
    <t>1000138091</t>
  </si>
  <si>
    <t xml:space="preserve">ty trong 1.062 </t>
  </si>
  <si>
    <t>FYR0048028</t>
  </si>
  <si>
    <t>NO-C25K2507-FY11-BRINE</t>
  </si>
  <si>
    <t>31 BEIGE</t>
  </si>
  <si>
    <t>C260716870</t>
  </si>
  <si>
    <t>0002/4219/5202/6228/9999</t>
  </si>
  <si>
    <t>1000144473</t>
  </si>
  <si>
    <t>S-H1N2O8</t>
  </si>
  <si>
    <t>9F00-0002652-00000021</t>
  </si>
  <si>
    <t>FYR0049059</t>
  </si>
  <si>
    <t>9V2608271</t>
  </si>
  <si>
    <t>NO-C26F1806-FY07</t>
  </si>
  <si>
    <t>C260673940</t>
  </si>
  <si>
    <t>1000107123</t>
  </si>
  <si>
    <t>9F00-0003429-00000011</t>
  </si>
  <si>
    <t>09-OK, DAI TRA OK</t>
  </si>
  <si>
    <t>FYR0048441</t>
  </si>
  <si>
    <t>9V2609060</t>
  </si>
  <si>
    <t>9V00-0001018</t>
  </si>
  <si>
    <t>NO-TP26D0628B-FY06</t>
  </si>
  <si>
    <t>095A-BLACK</t>
  </si>
  <si>
    <t>C260695080</t>
  </si>
  <si>
    <t>0001/2222/3244/9999</t>
  </si>
  <si>
    <t>1000126151</t>
  </si>
  <si>
    <t>9F00-0003199-00000005</t>
  </si>
  <si>
    <t>84.6% Recycled Polyester + 15.4% Elastane</t>
  </si>
  <si>
    <t>06-NG # LOT SOI, CT FL</t>
  </si>
  <si>
    <t>FYR0047982</t>
  </si>
  <si>
    <t>C260715760</t>
  </si>
  <si>
    <t>1000143248</t>
  </si>
  <si>
    <t>*CHO DD02*</t>
  </si>
  <si>
    <t>9V2609429</t>
  </si>
  <si>
    <t>9V00-0000882</t>
  </si>
  <si>
    <t>NO-T21L0909A-FY32-H</t>
  </si>
  <si>
    <t>C260703860</t>
  </si>
  <si>
    <t>1000133789</t>
  </si>
  <si>
    <t>9F00-0002553-00000004</t>
  </si>
  <si>
    <t xml:space="preserve">08-OK ST C260710380
</t>
  </si>
  <si>
    <t>FYR0047313</t>
  </si>
  <si>
    <t>9V2609068</t>
  </si>
  <si>
    <t>C260694610</t>
  </si>
  <si>
    <t>1000126030</t>
  </si>
  <si>
    <t>04-NG ST C260693000</t>
  </si>
  <si>
    <t>FYR0048639</t>
  </si>
  <si>
    <t>C260698920</t>
  </si>
  <si>
    <t>1000130826</t>
  </si>
  <si>
    <t>C260716900</t>
  </si>
  <si>
    <t>1000144476</t>
  </si>
  <si>
    <t>04-NG ST C260716910</t>
  </si>
  <si>
    <t>C260691860</t>
  </si>
  <si>
    <t>1000124488</t>
  </si>
  <si>
    <t>08-OK ST C260687110, GOP C260691840</t>
  </si>
  <si>
    <t>C260703930</t>
  </si>
  <si>
    <t>1000133874</t>
  </si>
  <si>
    <t>9V2609619</t>
  </si>
  <si>
    <t>NO-C26B2721A-FY25</t>
  </si>
  <si>
    <t>05B DRIFTWOOD-18-1210 TCX</t>
  </si>
  <si>
    <t>C260709180</t>
  </si>
  <si>
    <t>0016/4249/5216/6241/9999</t>
  </si>
  <si>
    <t>1000138766</t>
  </si>
  <si>
    <t>S-F2NCNE</t>
  </si>
  <si>
    <t>9F00-0002653-00000042</t>
  </si>
  <si>
    <t>FYR0048253</t>
  </si>
  <si>
    <t>9V2608305</t>
  </si>
  <si>
    <t>9V00-0001143</t>
  </si>
  <si>
    <t>NO-CP24K2003B-FY19-BRINE</t>
  </si>
  <si>
    <t>C260679830</t>
  </si>
  <si>
    <t>0002/4216/5215/6235/7001/9999</t>
  </si>
  <si>
    <t>1000114518</t>
  </si>
  <si>
    <t>S-CFMBKA</t>
  </si>
  <si>
    <t>9F00-0003440-00000003</t>
  </si>
  <si>
    <t>93% Cotton 7% Spandex</t>
  </si>
  <si>
    <t>ty trong muoi 1.05</t>
  </si>
  <si>
    <t>06-NG, KHAC LOT SOI, CT CHINH TAY, THE DAU, CAT 2Y VAI</t>
  </si>
  <si>
    <t>FYR0048796</t>
  </si>
  <si>
    <t>Stage</t>
  </si>
  <si>
    <r>
      <rPr>
        <b/>
        <sz val="11"/>
        <color rgb="FF000000"/>
        <rFont val="Calibri"/>
        <charset val="134"/>
      </rPr>
      <t>DyeingRFT</t>
    </r>
    <r>
      <rPr>
        <sz val="11"/>
        <color rgb="FF000000"/>
        <rFont val="Calibri"/>
        <charset val="134"/>
      </rPr>
      <t>: TotalCorrectionCnt &gt;0 or NC ở nhuộm -&gt; NG</t>
    </r>
  </si>
  <si>
    <t>Lab to bulk</t>
  </si>
  <si>
    <r>
      <t xml:space="preserve">ReworkCount: </t>
    </r>
    <r>
      <rPr>
        <sz val="11"/>
        <color rgb="FF000000"/>
        <rFont val="Calibri"/>
        <charset val="134"/>
      </rPr>
      <t xml:space="preserve">Newbatch quay lại nhuộm  -&gt; “rework”, totalCorection &gt;0 -&gt; “Adjustment” (chỉ tính &gt;=500kg)
</t>
    </r>
  </si>
  <si>
    <t>Bulk to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</si>
</sst>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9"/>
      <name val="Times New Roman"/>
    </font>
    <font>
      <sz val="9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64233"/>
        <bgColor indexed="64"/>
      </patternFill>
    </fill>
    <fill>
      <patternFill patternType="solid">
        <fgColor rgb="FFACC3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03435"/>
        <bgColor indexed="64"/>
      </patternFill>
    </fill>
    <fill>
      <patternFill patternType="solid">
        <fgColor rgb="FFD5E0E8"/>
        <bgColor indexed="64"/>
      </patternFill>
    </fill>
    <fill>
      <patternFill patternType="solid">
        <fgColor rgb="FF52273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4949F"/>
        <bgColor indexed="64"/>
      </patternFill>
    </fill>
    <fill>
      <patternFill patternType="solid">
        <fgColor rgb="FF32434E"/>
        <bgColor indexed="64"/>
      </patternFill>
    </fill>
    <fill>
      <patternFill patternType="solid">
        <fgColor rgb="FF453F41"/>
        <bgColor indexed="64"/>
      </patternFill>
    </fill>
    <fill>
      <patternFill patternType="solid">
        <fgColor rgb="FF172534"/>
        <bgColor indexed="64"/>
      </patternFill>
    </fill>
    <fill>
      <patternFill patternType="solid">
        <fgColor rgb="FF555643"/>
        <bgColor indexed="64"/>
      </patternFill>
    </fill>
    <fill>
      <patternFill patternType="solid">
        <fgColor rgb="FFB4AE85"/>
        <bgColor indexed="64"/>
      </patternFill>
    </fill>
    <fill>
      <patternFill patternType="solid">
        <fgColor rgb="FFB1A296"/>
        <bgColor indexed="64"/>
      </patternFill>
    </fill>
    <fill>
      <patternFill patternType="solid">
        <fgColor rgb="FF001C50"/>
        <bgColor indexed="64"/>
      </patternFill>
    </fill>
    <fill>
      <patternFill patternType="solid">
        <fgColor rgb="FF948F8F"/>
        <bgColor indexed="64"/>
      </patternFill>
    </fill>
    <fill>
      <patternFill patternType="solid">
        <fgColor rgb="FFE6CCDA"/>
        <bgColor indexed="64"/>
      </patternFill>
    </fill>
    <fill>
      <patternFill patternType="solid">
        <fgColor rgb="FF6E553F"/>
        <bgColor indexed="64"/>
      </patternFill>
    </fill>
    <fill>
      <patternFill patternType="solid">
        <fgColor rgb="FF598F6C"/>
        <bgColor indexed="64"/>
      </patternFill>
    </fill>
    <fill>
      <patternFill patternType="solid">
        <fgColor rgb="FFE78FB1"/>
        <bgColor indexed="64"/>
      </patternFill>
    </fill>
    <fill>
      <patternFill patternType="solid">
        <fgColor rgb="FFF4C573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rgb="FF683A5B"/>
        <bgColor indexed="64"/>
      </patternFill>
    </fill>
    <fill>
      <patternFill patternType="solid">
        <fgColor rgb="FF96BED0"/>
        <bgColor indexed="64"/>
      </patternFill>
    </fill>
    <fill>
      <patternFill patternType="solid">
        <fgColor rgb="FFDDD3BE"/>
        <bgColor indexed="64"/>
      </patternFill>
    </fill>
    <fill>
      <patternFill patternType="solid">
        <fgColor rgb="FFC70404"/>
        <bgColor indexed="64"/>
      </patternFill>
    </fill>
    <fill>
      <patternFill patternType="solid">
        <fgColor rgb="FF959B9B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CC269"/>
        <bgColor indexed="64"/>
      </patternFill>
    </fill>
    <fill>
      <patternFill patternType="solid">
        <fgColor rgb="FFFFCF00"/>
        <bgColor indexed="64"/>
      </patternFill>
    </fill>
    <fill>
      <patternFill patternType="solid">
        <fgColor rgb="FFB3A788"/>
        <bgColor indexed="64"/>
      </patternFill>
    </fill>
    <fill>
      <patternFill patternType="solid">
        <fgColor rgb="FF837A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 applyFill="1" applyAlignme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0" borderId="0" xfId="0" applyNumberFormat="1" applyFont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10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E_DCS\tests\fixtures\sample_imports\Copy%20of%20nc_report_1800040610.xlsx" TargetMode="External"/><Relationship Id="rId1" Type="http://schemas.openxmlformats.org/officeDocument/2006/relationships/externalLinkPath" Target="Copy%20of%20nc_report_18000406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E_DCS\tests\fixtures\sample_imports\Copy%20of%20production_report_dye_1640090610.xlsx" TargetMode="External"/><Relationship Id="rId1" Type="http://schemas.openxmlformats.org/officeDocument/2006/relationships/externalLinkPath" Target="Copy%20of%20production_report_dye_16400906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2)"/>
      <sheetName val="NC"/>
      <sheetName val="NOTE"/>
    </sheetNames>
    <sheetDataSet>
      <sheetData sheetId="0" refreshError="1"/>
      <sheetData sheetId="1">
        <row r="1">
          <cell r="L1" t="str">
            <v>Batch Ref</v>
          </cell>
        </row>
        <row r="2">
          <cell r="L2" t="str">
            <v>C260693502</v>
          </cell>
        </row>
        <row r="3">
          <cell r="L3" t="str">
            <v>C260701740</v>
          </cell>
        </row>
        <row r="4">
          <cell r="L4" t="str">
            <v>C260701251</v>
          </cell>
        </row>
        <row r="5">
          <cell r="L5" t="str">
            <v>C260687852</v>
          </cell>
        </row>
        <row r="6">
          <cell r="L6" t="str">
            <v>C260712960</v>
          </cell>
        </row>
        <row r="7">
          <cell r="L7" t="str">
            <v>C260712950</v>
          </cell>
        </row>
        <row r="8">
          <cell r="L8" t="str">
            <v>C260701222</v>
          </cell>
        </row>
        <row r="9">
          <cell r="L9" t="str">
            <v>C260704420</v>
          </cell>
        </row>
        <row r="10">
          <cell r="L10" t="str">
            <v>C260713510</v>
          </cell>
        </row>
        <row r="11">
          <cell r="L11" t="str">
            <v>C260710730</v>
          </cell>
        </row>
        <row r="12">
          <cell r="L12" t="str">
            <v>C260709440</v>
          </cell>
        </row>
        <row r="13">
          <cell r="L13" t="str">
            <v>C260712220</v>
          </cell>
        </row>
        <row r="14">
          <cell r="L14" t="str">
            <v>C260674851</v>
          </cell>
        </row>
        <row r="15">
          <cell r="L15" t="str">
            <v>C260697101</v>
          </cell>
        </row>
        <row r="16">
          <cell r="L16" t="str">
            <v>C260712290</v>
          </cell>
        </row>
        <row r="17">
          <cell r="L17" t="str">
            <v>C260681961</v>
          </cell>
        </row>
        <row r="18">
          <cell r="L18" t="str">
            <v>C260714450</v>
          </cell>
        </row>
        <row r="19">
          <cell r="L19" t="str">
            <v>C260673644</v>
          </cell>
        </row>
        <row r="20">
          <cell r="L20" t="str">
            <v>C260707080</v>
          </cell>
        </row>
        <row r="21">
          <cell r="L21" t="str">
            <v>C260695680</v>
          </cell>
        </row>
        <row r="22">
          <cell r="L22" t="str">
            <v>C260714660</v>
          </cell>
        </row>
        <row r="23">
          <cell r="L23" t="str">
            <v>C260714760</v>
          </cell>
        </row>
        <row r="24">
          <cell r="L24" t="str">
            <v>C260704450</v>
          </cell>
        </row>
        <row r="25">
          <cell r="L25" t="str">
            <v>C260695010</v>
          </cell>
        </row>
        <row r="26">
          <cell r="L26" t="str">
            <v>C260715480</v>
          </cell>
        </row>
        <row r="27">
          <cell r="L27" t="str">
            <v>C260715490</v>
          </cell>
        </row>
        <row r="28">
          <cell r="L28" t="str">
            <v>C260710210</v>
          </cell>
        </row>
        <row r="29">
          <cell r="L29" t="str">
            <v>C260715550</v>
          </cell>
        </row>
        <row r="30">
          <cell r="L30" t="str">
            <v>C260708160</v>
          </cell>
        </row>
        <row r="31">
          <cell r="L31" t="str">
            <v>C260702691</v>
          </cell>
        </row>
        <row r="32">
          <cell r="L32" t="str">
            <v>C260712520</v>
          </cell>
        </row>
        <row r="33">
          <cell r="L33" t="str">
            <v>C260704440</v>
          </cell>
        </row>
        <row r="34">
          <cell r="L34" t="str">
            <v>C260701540</v>
          </cell>
        </row>
        <row r="35">
          <cell r="L35" t="str">
            <v>C260690673</v>
          </cell>
        </row>
        <row r="36">
          <cell r="L36" t="str">
            <v>C260706250</v>
          </cell>
        </row>
        <row r="37">
          <cell r="L37" t="str">
            <v>C260695412</v>
          </cell>
        </row>
        <row r="38">
          <cell r="L38" t="str">
            <v>C260701751</v>
          </cell>
        </row>
        <row r="39">
          <cell r="L39" t="str">
            <v>C260699050</v>
          </cell>
        </row>
        <row r="40">
          <cell r="L40" t="str">
            <v>C260706220</v>
          </cell>
        </row>
        <row r="41">
          <cell r="L41" t="str">
            <v>C260695890</v>
          </cell>
        </row>
        <row r="42">
          <cell r="L42" t="str">
            <v>C260689271</v>
          </cell>
        </row>
        <row r="43">
          <cell r="L43" t="str">
            <v>C260689281</v>
          </cell>
        </row>
        <row r="44">
          <cell r="L44" t="str">
            <v>C260704530</v>
          </cell>
        </row>
        <row r="45">
          <cell r="L45" t="str">
            <v>C260694870</v>
          </cell>
        </row>
        <row r="46">
          <cell r="L46" t="str">
            <v>C260694880</v>
          </cell>
        </row>
        <row r="47">
          <cell r="L47" t="str">
            <v>C260705671</v>
          </cell>
        </row>
        <row r="48">
          <cell r="L48" t="str">
            <v>C260703451</v>
          </cell>
        </row>
        <row r="49">
          <cell r="L49" t="str">
            <v>C260682652</v>
          </cell>
        </row>
        <row r="50">
          <cell r="L50" t="str">
            <v>C260704430</v>
          </cell>
        </row>
        <row r="51">
          <cell r="L51" t="str">
            <v>C260701921</v>
          </cell>
        </row>
        <row r="52">
          <cell r="L52" t="str">
            <v>C260688572</v>
          </cell>
        </row>
        <row r="53">
          <cell r="L53" t="str">
            <v>C260703520</v>
          </cell>
        </row>
        <row r="54">
          <cell r="L54" t="str">
            <v>C260701221</v>
          </cell>
        </row>
        <row r="55">
          <cell r="L55" t="str">
            <v>C260695772</v>
          </cell>
        </row>
        <row r="56">
          <cell r="L56" t="str">
            <v>C260681763</v>
          </cell>
        </row>
        <row r="57">
          <cell r="L57" t="str">
            <v>C260695021</v>
          </cell>
        </row>
        <row r="58">
          <cell r="L58" t="str">
            <v>C260706070</v>
          </cell>
        </row>
        <row r="59">
          <cell r="L59" t="str">
            <v>C260699150</v>
          </cell>
        </row>
        <row r="60">
          <cell r="L60" t="str">
            <v>C260694891</v>
          </cell>
        </row>
        <row r="61">
          <cell r="L61" t="str">
            <v>C260698060</v>
          </cell>
        </row>
        <row r="62">
          <cell r="L62" t="str">
            <v>C260691320</v>
          </cell>
        </row>
        <row r="63">
          <cell r="L63" t="str">
            <v>C260704400</v>
          </cell>
        </row>
        <row r="64">
          <cell r="L64" t="str">
            <v>C260708180</v>
          </cell>
        </row>
        <row r="65">
          <cell r="L65" t="str">
            <v>C260698200</v>
          </cell>
        </row>
        <row r="66">
          <cell r="L66" t="str">
            <v>C260695981</v>
          </cell>
        </row>
        <row r="67">
          <cell r="L67" t="str">
            <v>C260705550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YE"/>
      <sheetName val="DG"/>
      <sheetName val="note"/>
    </sheetNames>
    <sheetDataSet>
      <sheetData sheetId="0" refreshError="1"/>
      <sheetData sheetId="1">
        <row r="1">
          <cell r="H1" t="str">
            <v>工卡号
Mã công lệnh
Batch#</v>
          </cell>
        </row>
        <row r="2">
          <cell r="H2" t="str">
            <v>C260704451</v>
          </cell>
        </row>
        <row r="3">
          <cell r="H3" t="str">
            <v>C260704420</v>
          </cell>
        </row>
        <row r="4">
          <cell r="H4" t="str">
            <v>C260708800</v>
          </cell>
        </row>
        <row r="5">
          <cell r="H5" t="str">
            <v>C260708810</v>
          </cell>
        </row>
        <row r="6">
          <cell r="H6" t="str">
            <v>C260712950</v>
          </cell>
        </row>
        <row r="7">
          <cell r="H7" t="str">
            <v>C260712960</v>
          </cell>
        </row>
        <row r="8">
          <cell r="H8" t="str">
            <v>C260701412</v>
          </cell>
        </row>
        <row r="9">
          <cell r="H9" t="str">
            <v>C260673940</v>
          </cell>
        </row>
        <row r="10">
          <cell r="H10" t="str">
            <v>C260691730</v>
          </cell>
        </row>
        <row r="11">
          <cell r="H11" t="str">
            <v>C260691750</v>
          </cell>
        </row>
        <row r="12">
          <cell r="H12" t="str">
            <v>C260691790</v>
          </cell>
        </row>
        <row r="13">
          <cell r="H13" t="str">
            <v>C260691840</v>
          </cell>
        </row>
        <row r="14">
          <cell r="H14" t="str">
            <v>C260691860</v>
          </cell>
        </row>
        <row r="15">
          <cell r="H15" t="str">
            <v>C260692150</v>
          </cell>
        </row>
        <row r="16">
          <cell r="H16" t="str">
            <v>C260692160</v>
          </cell>
        </row>
        <row r="17">
          <cell r="H17" t="str">
            <v>C260694610</v>
          </cell>
        </row>
        <row r="18">
          <cell r="H18" t="str">
            <v>C260698920</v>
          </cell>
        </row>
        <row r="19">
          <cell r="H19" t="str">
            <v>C260706980</v>
          </cell>
        </row>
        <row r="20">
          <cell r="H20" t="str">
            <v>C260709180</v>
          </cell>
        </row>
        <row r="21">
          <cell r="H21" t="str">
            <v>C260708020</v>
          </cell>
        </row>
        <row r="22">
          <cell r="H22" t="str">
            <v>C260710530</v>
          </cell>
        </row>
        <row r="23">
          <cell r="H23" t="str">
            <v>C260710540</v>
          </cell>
        </row>
        <row r="24">
          <cell r="H24" t="str">
            <v>C260710560</v>
          </cell>
        </row>
        <row r="25">
          <cell r="H25" t="str">
            <v>C260710570</v>
          </cell>
        </row>
        <row r="26">
          <cell r="H26" t="str">
            <v>C260710730</v>
          </cell>
        </row>
        <row r="27">
          <cell r="H27" t="str">
            <v>C260712340</v>
          </cell>
        </row>
        <row r="28">
          <cell r="H28" t="str">
            <v>C260693502</v>
          </cell>
        </row>
        <row r="29">
          <cell r="H29" t="str">
            <v>C260714870</v>
          </cell>
        </row>
        <row r="30">
          <cell r="H30" t="str">
            <v>C260716870</v>
          </cell>
        </row>
        <row r="31">
          <cell r="H31" t="str">
            <v>C260716900</v>
          </cell>
        </row>
        <row r="32">
          <cell r="H32" t="str">
            <v>C260706031</v>
          </cell>
        </row>
        <row r="33">
          <cell r="H33" t="str">
            <v>C260685471</v>
          </cell>
        </row>
        <row r="34">
          <cell r="H34" t="str">
            <v>C260705800</v>
          </cell>
        </row>
        <row r="35">
          <cell r="H35" t="str">
            <v>C260707960</v>
          </cell>
        </row>
        <row r="36">
          <cell r="H36" t="str">
            <v>C260708000</v>
          </cell>
        </row>
        <row r="37">
          <cell r="H37" t="str">
            <v>C260708100</v>
          </cell>
        </row>
        <row r="38">
          <cell r="H38" t="str">
            <v>C260708460</v>
          </cell>
        </row>
        <row r="39">
          <cell r="H39" t="str">
            <v>C260709110</v>
          </cell>
        </row>
        <row r="40">
          <cell r="H40" t="str">
            <v>C260695961</v>
          </cell>
        </row>
        <row r="41">
          <cell r="H41" t="str">
            <v>C260701251</v>
          </cell>
        </row>
        <row r="42">
          <cell r="H42" t="str">
            <v>C260666801</v>
          </cell>
        </row>
        <row r="43">
          <cell r="H43" t="str">
            <v>C260695483</v>
          </cell>
        </row>
        <row r="44">
          <cell r="H44" t="str">
            <v>C260699311</v>
          </cell>
        </row>
        <row r="45">
          <cell r="H45" t="str">
            <v>C260705201</v>
          </cell>
        </row>
        <row r="46">
          <cell r="H46" t="str">
            <v>C260713510</v>
          </cell>
        </row>
        <row r="47">
          <cell r="H47" t="str">
            <v>C260699230</v>
          </cell>
        </row>
        <row r="48">
          <cell r="H48" t="str">
            <v>C260698201</v>
          </cell>
        </row>
        <row r="49">
          <cell r="H49" t="str">
            <v>C260714690</v>
          </cell>
        </row>
        <row r="50">
          <cell r="H50" t="str">
            <v>C260702681</v>
          </cell>
        </row>
        <row r="51">
          <cell r="H51" t="str">
            <v>C260714610</v>
          </cell>
        </row>
        <row r="52">
          <cell r="H52" t="str">
            <v>C260714600</v>
          </cell>
        </row>
        <row r="53">
          <cell r="H53" t="str">
            <v>C260695681</v>
          </cell>
        </row>
        <row r="54">
          <cell r="H54" t="str">
            <v>C260709470</v>
          </cell>
        </row>
        <row r="55">
          <cell r="H55" t="str">
            <v>C260710160</v>
          </cell>
        </row>
        <row r="56">
          <cell r="H56" t="str">
            <v>C260699022</v>
          </cell>
        </row>
        <row r="57">
          <cell r="H57" t="str">
            <v>C260714630</v>
          </cell>
        </row>
        <row r="58">
          <cell r="H58" t="str">
            <v>C260714850</v>
          </cell>
        </row>
        <row r="59">
          <cell r="H59" t="str">
            <v>C260703860</v>
          </cell>
        </row>
        <row r="60">
          <cell r="H60" t="str">
            <v>C260714930</v>
          </cell>
        </row>
        <row r="61">
          <cell r="H61" t="str">
            <v>C260701222</v>
          </cell>
        </row>
        <row r="62">
          <cell r="H62" t="str">
            <v>C260695080</v>
          </cell>
        </row>
        <row r="63">
          <cell r="H63" t="str">
            <v>C260703930</v>
          </cell>
        </row>
        <row r="64">
          <cell r="H64" t="str">
            <v>C260701421</v>
          </cell>
        </row>
        <row r="65">
          <cell r="H65" t="str">
            <v>C260715760</v>
          </cell>
        </row>
        <row r="66">
          <cell r="H66" t="str">
            <v>C260715780</v>
          </cell>
        </row>
        <row r="67">
          <cell r="H67" t="str">
            <v>C260687852</v>
          </cell>
        </row>
        <row r="68">
          <cell r="H68" t="str">
            <v>C260679830</v>
          </cell>
        </row>
        <row r="69">
          <cell r="H69" t="str">
            <v>C260709810</v>
          </cell>
        </row>
        <row r="70">
          <cell r="H70" t="str">
            <v>C260694491</v>
          </cell>
        </row>
        <row r="71">
          <cell r="H71" t="str">
            <v>C260696880</v>
          </cell>
        </row>
        <row r="72">
          <cell r="H72" t="str">
            <v>C260707460</v>
          </cell>
        </row>
        <row r="73">
          <cell r="H73" t="str">
            <v>C260707860</v>
          </cell>
        </row>
        <row r="74">
          <cell r="H74" t="str">
            <v>C260708470</v>
          </cell>
        </row>
        <row r="75">
          <cell r="H75" t="str">
            <v>C260693981</v>
          </cell>
        </row>
        <row r="76">
          <cell r="H76" t="str">
            <v>C260692670</v>
          </cell>
        </row>
        <row r="77">
          <cell r="H77" t="str">
            <v>C260692690</v>
          </cell>
        </row>
        <row r="78">
          <cell r="H78" t="str">
            <v>C260689651</v>
          </cell>
        </row>
        <row r="79">
          <cell r="H79" t="str">
            <v>C260710390</v>
          </cell>
        </row>
        <row r="80">
          <cell r="H80" t="str">
            <v>C260712280</v>
          </cell>
        </row>
        <row r="81">
          <cell r="H81" t="str">
            <v>C260714300</v>
          </cell>
        </row>
        <row r="82">
          <cell r="H82" t="str">
            <v>C260714310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vkthuynh" refreshedDate="46302.371087963002" createdVersion="5" refreshedVersion="5" minRefreshableVersion="3" recordCount="57" xr:uid="{00000000-000A-0000-FFFF-FFFF00000000}">
  <cacheSource type="worksheet">
    <worksheetSource ref="A1:CA58" sheet="data"/>
  </cacheSource>
  <cacheFields count="79">
    <cacheField name="Customer" numFmtId="0">
      <sharedItems count="5">
        <s v="UNIQLO"/>
        <s v="PUMA"/>
        <s v="ANF"/>
        <s v="ADIDAS"/>
        <s v="JINNAT KNITWEARS LTD"/>
      </sharedItems>
    </cacheField>
    <cacheField name="Color" numFmtId="0">
      <sharedItems count="1">
        <s v=""/>
      </sharedItems>
    </cacheField>
    <cacheField name="OrderNo" numFmtId="0">
      <sharedItems count="43">
        <s v="9V2609614"/>
        <s v="9V2609574"/>
        <s v="9V2609544"/>
        <s v="9V2609455"/>
        <s v="9V2608768"/>
        <s v="9V2609089"/>
        <s v="9V2609312"/>
        <s v="9V2609518"/>
        <s v="9V2609528"/>
        <s v="9V2609191"/>
        <s v="9VS262611"/>
        <s v="9V2609775"/>
        <s v="9V2608844"/>
        <s v="9V2609320"/>
        <s v="9V2609694"/>
        <s v="9V2609270"/>
        <s v="9V2609088"/>
        <s v="9V2609693"/>
        <s v="9V2610072"/>
        <s v="9V2609719"/>
        <s v="9VS263665"/>
        <s v="9V2609001"/>
        <s v="9V2610071"/>
        <s v="9V2609780"/>
        <s v="9V2609745"/>
        <s v="9V2608603"/>
        <s v="9VS263732"/>
        <s v="9V2609489"/>
        <s v="9V2609621"/>
        <s v="9V2609539"/>
        <s v="9V2609555"/>
        <s v="9VS263582"/>
        <s v="9V2609480"/>
        <s v="9V2609744"/>
        <s v="9V2609266"/>
        <s v="9V2609538"/>
        <s v="9V2609572"/>
        <s v="9V2608271"/>
        <s v="9V2609060"/>
        <s v="9V2609429"/>
        <s v="9V2609068"/>
        <s v="9V2609619"/>
        <s v="9V2608305"/>
      </sharedItems>
    </cacheField>
    <cacheField name="GreigeCode" numFmtId="0">
      <sharedItems count="29">
        <s v="9V00-0000880"/>
        <s v="9V00-0000826"/>
        <s v="9V00-0000806"/>
        <s v="9V00-0000953"/>
        <s v="9V00-0000975"/>
        <s v="9V00-0000971"/>
        <s v="9V00-0000871"/>
        <s v="9V00-0000848"/>
        <s v="9V00-0000875"/>
        <s v="9V00-0000269"/>
        <s v="9V00-0000775"/>
        <s v="9V00-0000364"/>
        <s v="9V00-0001129"/>
        <s v="RICK135I001A"/>
        <s v="9V00-0001006"/>
        <s v="9V00-0001130"/>
        <s v="9V00-0000872"/>
        <s v="9V00-0000774"/>
        <s v="9V00-0001029"/>
        <s v="9V00-0000984"/>
        <s v="9V00-0001097"/>
        <s v="9V00-0000812"/>
        <s v="9V00-0000982"/>
        <s v="9V00-0000878"/>
        <s v="9V00-0000390"/>
        <s v="9V00-0000920"/>
        <s v="9V00-0001018"/>
        <s v="9V00-0000882"/>
        <s v="9V00-0001143"/>
      </sharedItems>
    </cacheField>
    <cacheField name="RecipeNo" numFmtId="0">
      <sharedItems count="47">
        <s v="NO-TC26E1108-RIB-FY06-BRINE"/>
        <s v="NO-C26F2201-RIB(TC)-FY02-BRINE"/>
        <s v="NO-T23K0119B-FY17-O"/>
        <s v="NO-TC25G1809-FY39"/>
        <s v="NO-TR26E0712-FY05"/>
        <s v="NO-TC26H2501-FY10-BRINE"/>
        <s v="C25E0701-FY39"/>
        <s v="NO-AR25A0603-FY14"/>
        <s v="NO-TC26I0315-FY04-BRINE"/>
        <s v="NO-T25J2212A-FY05"/>
        <s v="SSNO-T26D0320F-FY03"/>
        <s v="NO-T23J0320A-FY21"/>
        <s v="NO-C26E1201-FY13-DO01"/>
        <s v="NO-T25K0302-FY08-O"/>
        <s v="NO-C26C1601-FY14"/>
        <s v="DG03-NO-C26E1607-TRIM-FY05-BRINE"/>
        <s v="NO-T25K1701A-FY04-O"/>
        <s v="NO-TC26H2502-FY07-BRINE"/>
        <s v="NO-C26F1806E-RIB-(TC)-FY06"/>
        <s v="NO-C25E0602-FY20-BRINE"/>
        <s v="NO-C25E0702-FY21"/>
        <s v="NO-C26F1808B-RIB-TC-FY03-BRINE"/>
        <s v="NO-T26I1810C-FY01"/>
        <s v="NO-C26G1301D-FY06-TEST"/>
        <s v="NO-C25G1406-FY09"/>
        <s v="NO-TP26D0622A-FY05"/>
        <s v="NO-C26E1110-RIB(TC)-FY03-C260714650"/>
        <s v="NO-T26E2203C-FY10"/>
        <s v="NO-T26I2212-FY01"/>
        <s v="NO-TR26E0712-FY06-BRINE"/>
        <s v="NO-C26C2304-FY05-BRINE"/>
        <s v="NO-AR25A0603-FY15-C260708100"/>
        <s v="NO-C26F1612-RIB(TC)-FY05-BRINE"/>
        <s v="NO-T22L1301A1-FY16"/>
        <s v="NO-T23K0118D-RIB-FY01"/>
        <s v="NO-T24G0402A-FY09"/>
        <s v="NO-C26D0202-RIB(TC)-FY10"/>
        <s v="NO-TC25F0504-FY28"/>
        <s v="NO-C26E1110-FY06-BRINE"/>
        <s v="NO-C26B1202-RIB3-FY04-BRINE"/>
        <s v="NO-T23F0578A-FY14"/>
        <s v="NO-C25K2507-FY11-BRINE"/>
        <s v="NO-C26F1806-FY07"/>
        <s v="NO-TP26D0628B-FY06"/>
        <s v="NO-T21L0909A-FY32-H"/>
        <s v="NO-C26B2721A-FY25"/>
        <s v="NO-CP24K2003B-FY19-BRINE"/>
      </sharedItems>
    </cacheField>
    <cacheField name="ColourNo" numFmtId="0">
      <sharedItems count="39">
        <s v="36 BROWN"/>
        <s v="S7 60S-BLUE"/>
        <s v="137-95-00-PUMA WHITE"/>
        <s v="19-4205 TCX-PHANTOM"/>
        <s v="00O WHITE"/>
        <s v="S7 18-WINE"/>
        <s v="WHITE-MGKH"/>
        <s v="09 BLACK-MGKH"/>
        <s v="S7 71R -PURPLE"/>
        <s v="117-32-06-BLUE GRAY"/>
        <s v="006-26-02-Crystal Black=Dark t"/>
        <s v="117A-NIGHT INDIGO "/>
        <s v="BLACK "/>
        <s v="00D WHITE"/>
        <s v="56AA"/>
        <s v="S7 51-GREEN"/>
        <s v="S7 30S-NATURAL"/>
        <s v="69 NAVY"/>
        <s v="GRAY 30E"/>
        <s v="153-84-13-WHISP OF PINK"/>
        <s v="18-0928 TCX-35 BROWN"/>
        <s v="53 GREEN"/>
        <s v="AJ9F-Bright Pink"/>
        <s v="43T YELLOW "/>
        <s v="001A-White CONST FW14"/>
        <s v="148-30-21-PLUM VELVET"/>
        <s v="61AB BLUE"/>
        <s v="30B-VANILLE"/>
        <s v="005-18-00-PUMA BLACK"/>
        <s v="012-40-36-PUMA RED"/>
        <s v="000-64-00-GRAY ECHO"/>
        <s v="08 DARK GRAY"/>
        <s v="BLACK"/>
        <s v="43T YELLOW"/>
        <s v="19-3911 TCX-BLACK BEAUTY"/>
        <s v="040-81-40-FASTER YELLOW"/>
        <s v="31 BEIGE"/>
        <s v="095A-BLACK"/>
        <s v="05B DRIFTWOOD-18-1210 TCX"/>
      </sharedItems>
    </cacheField>
    <cacheField name="Shade" numFmtId="0">
      <sharedItems containsBlank="1" count="4">
        <s v="Dark"/>
        <s v="Light"/>
        <s v="Medium"/>
        <m/>
      </sharedItems>
    </cacheField>
    <cacheField name="Machine" numFmtId="0">
      <sharedItems count="37">
        <s v="D511"/>
        <s v="D512"/>
        <s v="D513"/>
        <s v="DA02"/>
        <s v="D507"/>
        <s v="D506"/>
        <s v="DA03"/>
        <s v="D514"/>
        <s v="D508"/>
        <s v="H801"/>
        <s v="D025"/>
        <s v="1603"/>
        <s v="DO01"/>
        <s v="DO02"/>
        <s v="D257"/>
        <s v="D253"/>
        <s v="D509"/>
        <s v="1402"/>
        <s v="D510"/>
        <s v="DA04"/>
        <s v="DT01"/>
        <s v="0101"/>
        <s v="DA05"/>
        <s v="1401"/>
        <s v="D256"/>
        <s v="D059"/>
        <s v="D027"/>
        <s v="D503"/>
        <s v="1605"/>
        <s v="D026"/>
        <s v="1604"/>
        <s v="D021"/>
        <s v="1403"/>
        <s v="DA01"/>
        <s v="D504"/>
        <s v="D258"/>
        <s v="1203"/>
      </sharedItems>
    </cacheField>
    <cacheField name="MachineGroup" numFmtId="0">
      <sharedItems count="11">
        <s v="G600"/>
        <s v="G1200"/>
        <s v="C800"/>
        <s v="G25"/>
        <s v="C1600"/>
        <s v="G2400"/>
        <s v="G300"/>
        <s v="C100"/>
        <s v="G50"/>
        <s v="G500"/>
        <s v="C1200"/>
      </sharedItems>
    </cacheField>
    <cacheField name="Dyelot" numFmtId="0">
      <sharedItems count="56">
        <s v="C260708660"/>
        <s v="C260709570"/>
        <s v="C260713440"/>
        <s v="C260703920"/>
        <s v="C260703140"/>
        <s v="C260696870"/>
        <s v="C260698910"/>
        <s v="C260708100"/>
        <s v="C260708230"/>
        <s v="C260698120"/>
        <s v="C260709440"/>
        <s v="C260715770"/>
        <s v="C260692250"/>
        <s v="C260701740"/>
        <s v="C260691760"/>
        <s v="C260712940"/>
        <s v="C260713580"/>
        <s v="C260697020"/>
        <s v="C260712980"/>
        <s v="C260716760"/>
        <s v="C260712530"/>
        <s v="C260713060"/>
        <s v="C260712170"/>
        <s v="C260693000"/>
        <s v="C260716910"/>
        <s v="C260715020"/>
        <s v="C260714650"/>
        <s v="C260687920"/>
        <s v="C260714870"/>
        <s v="C260703150"/>
        <s v="C260705800"/>
        <s v="C260709470"/>
        <s v="C260691730"/>
        <s v="C260710730"/>
        <s v="C260712340"/>
        <s v="C260715780"/>
        <s v="C260708460"/>
        <s v="C260712960"/>
        <s v="C260707460"/>
        <s v="C260714690"/>
        <s v="C260713510"/>
        <s v="C260692160"/>
        <s v="C260710530"/>
        <s v="C260708000"/>
        <s v="C260716870"/>
        <s v="C260673940"/>
        <s v="C260695080"/>
        <s v="C260715760"/>
        <s v="C260703860"/>
        <s v="C260694610"/>
        <s v="C260698920"/>
        <s v="C260716900"/>
        <s v="C260691860"/>
        <s v="C260703930"/>
        <s v="C260709180"/>
        <s v="C260679830"/>
      </sharedItems>
    </cacheField>
    <cacheField name="TreatmentProgram" numFmtId="0">
      <sharedItems containsBlank="1" count="36">
        <s v="0002/4224/2209/3242/5204/6235/7001/9999"/>
        <s v="0016/4224/2221/3200/5202/6233/9999"/>
        <s v="0016/1201/2201/3200/7005/9999"/>
        <s v="0002/4226/2203/3242/5204/6235/9999"/>
        <s v="0016/4220/5231/3200/9999"/>
        <s v="0002/4254/2241/3246/5203/6235/7001/9999"/>
        <s v="0016/4233/5201/7005/9999"/>
        <s v="0002/1207/2207/3237/5206/6214/9999"/>
        <s v="0016/4254/2242/3200/5202/6233/9999"/>
        <s v="0001/1201/2222/3242/9999"/>
        <s v="0001/2223/3242/9999"/>
        <s v="0002/4249/5212/6235/7001/9999"/>
        <s v="0016/2201/3200/7005/9999"/>
        <s v="0016/4249/5201/7005/9999"/>
        <s v="0002/8099/5203/6234/7001/9999"/>
        <s v="0016/4224/2239/3200/5202/6233/9999"/>
        <s v="0016/4219/5204/6220/7001/9999"/>
        <s v="0002/4219/5202/6207/9999"/>
        <s v="0001/1201/2270/3200/9999"/>
        <s v="0002/4249/5203/9530/7001/9999"/>
        <s v="0016/1205/2270/3242/9999"/>
        <s v="0016/8089/2239/3200/5202/6228/9999"/>
        <s v="0016/4249/5202/3223/9999"/>
        <s v="0002/8099/5206/6214/9999"/>
        <s v="0016/4224/2239/3200/5202/6239/9999"/>
        <s v="0001/1201/2204/3242/9999"/>
        <s v="0001/1201/2221/3200/9999"/>
        <s v="0002/4224/2239/3200/5215/6234/7001/9999"/>
        <s v="0001/4247/2241/3246/5206/6208/7001/9999"/>
        <s v="0016/4249/5202/6233/9999"/>
        <s v="0002/4216/5206/6235/7001/9999"/>
        <m/>
        <s v="0002/4219/5202/6228/9999"/>
        <s v="0001/2222/3244/9999"/>
        <s v="0016/4249/5216/6241/9999"/>
        <s v="0002/4216/5215/6235/7001/9999"/>
      </sharedItems>
    </cacheField>
    <cacheField name="BatchState" numFmtId="0">
      <sharedItems count="1">
        <s v="finished"/>
      </sharedItems>
    </cacheField>
    <cacheField name="FormulaCode" numFmtId="0">
      <sharedItems count="9">
        <s v="03-Chỉnh tay không mẫu"/>
        <s v="06-Khác nhóm máy/lot sợi/dung tỷ"/>
        <s v="08-So theo  QC OK&lt;2batches"/>
        <s v="02-So theo DYE-OK"/>
        <s v="09-So theo QC-OK"/>
        <s v="01-Lab to bulk"/>
        <s v="05-Đổi hóa chất/chương trình"/>
        <s v="04-So theo DYE-NG"/>
        <s v="07-Labdip"/>
      </sharedItems>
    </cacheField>
    <cacheField name="FormulaType" numFmtId="0">
      <sharedItems count="2">
        <s v="NG"/>
        <s v="OK"/>
      </sharedItems>
    </cacheField>
    <cacheField name="ReDye" numFmtId="0">
      <sharedItems containsSemiMixedTypes="0" containsString="0" containsNumber="1" containsInteger="1" minValue="0" maxValue="1" count="2">
        <n v="0"/>
        <n v="1"/>
      </sharedItems>
    </cacheField>
    <cacheField name="Weight" numFmtId="0">
      <sharedItems containsSemiMixedTypes="0" containsString="0" containsNumber="1" minValue="0" maxValue="2205" count="53">
        <n v="504"/>
        <n v="349"/>
        <n v="309.39999999999998"/>
        <n v="1226"/>
        <n v="485"/>
        <n v="516"/>
        <n v="1170.55"/>
        <n v="493"/>
        <n v="517"/>
        <n v="306.10000000000002"/>
        <n v="14"/>
        <n v="1126.0999999999999"/>
        <n v="2177"/>
        <n v="307.10000000000002"/>
        <n v="2098.6"/>
        <n v="193"/>
        <n v="159"/>
        <n v="531"/>
        <n v="688.4"/>
        <n v="589"/>
        <n v="963"/>
        <n v="701"/>
        <n v="70"/>
        <n v="1112"/>
        <n v="1099"/>
        <n v="146"/>
        <n v="40"/>
        <n v="356"/>
        <n v="13"/>
        <n v="487"/>
        <n v="398"/>
        <n v="245"/>
        <n v="2177.1999999999998"/>
        <n v="1059.8"/>
        <n v="15"/>
        <n v="1115.9000000000001"/>
        <n v="783"/>
        <n v="1039"/>
        <n v="254.5"/>
        <n v="149"/>
        <n v="2140"/>
        <n v="616"/>
        <n v="1186"/>
        <n v="1019"/>
        <n v="1131"/>
        <n v="1128.2"/>
        <n v="1232"/>
        <n v="1175.8"/>
        <n v="1094.2"/>
        <n v="2205"/>
        <n v="1218"/>
        <n v="1167.8"/>
        <n v="471"/>
      </sharedItems>
    </cacheField>
    <cacheField name="ProcessType" numFmtId="0">
      <sharedItems count="1">
        <s v="dyeing"/>
      </sharedItems>
    </cacheField>
    <cacheField name="BatchType" numFmtId="0">
      <sharedItems count="1">
        <s v="Normal"/>
      </sharedItems>
    </cacheField>
    <cacheField name="LiquorRatio" numFmtId="0">
      <sharedItems containsSemiMixedTypes="0" containsString="0" containsNumber="1" minValue="0" maxValue="15.5" count="16">
        <n v="5.5"/>
        <n v="6"/>
        <n v="6.5"/>
        <n v="15.5"/>
        <n v="14.5"/>
        <n v="11.5"/>
        <n v="7"/>
        <n v="7.5"/>
        <n v="5"/>
        <n v="10"/>
        <n v="9"/>
        <n v="15"/>
        <n v="12.5"/>
        <n v="13"/>
        <n v="8"/>
        <n v="12"/>
      </sharedItems>
    </cacheField>
    <cacheField name="LiquorQuantity" numFmtId="0">
      <sharedItems containsSemiMixedTypes="0" containsString="0" containsNumber="1" minValue="0" maxValue="14168" count="52">
        <n v="2772"/>
        <n v="2094"/>
        <n v="2011.1"/>
        <n v="6743"/>
        <n v="2667.5"/>
        <n v="2838"/>
        <n v="7023.3"/>
        <n v="3204.5"/>
        <n v="2843.5"/>
        <n v="4744.55"/>
        <n v="203"/>
        <n v="12950.15"/>
        <n v="11973.5"/>
        <n v="2149.6999999999998"/>
        <n v="12591.6"/>
        <n v="1254.5"/>
        <n v="1192.5"/>
        <n v="2920.5"/>
        <n v="4130.3999999999996"/>
        <n v="2945"/>
        <n v="5296.5"/>
        <n v="4556.5"/>
        <n v="455"/>
        <n v="6116"/>
        <n v="6044.5"/>
        <n v="1460"/>
        <n v="360"/>
        <n v="2136"/>
        <n v="195"/>
        <n v="2678.5"/>
        <n v="2189"/>
        <n v="1715"/>
        <n v="13063.2"/>
        <n v="13247.5"/>
        <n v="13948.75"/>
        <n v="4306.5"/>
        <n v="5714.5"/>
        <n v="1654.25"/>
        <n v="1192"/>
        <n v="11770"/>
        <n v="7392"/>
        <n v="6523"/>
        <n v="5604.5"/>
        <n v="13006.5"/>
        <n v="12974.3"/>
        <n v="14168"/>
        <n v="7054.8"/>
        <n v="6018.1"/>
        <n v="13230"/>
        <n v="6699"/>
        <n v="5839"/>
        <n v="2590.5"/>
      </sharedItems>
    </cacheField>
    <cacheField name="WeightPerArea" numFmtId="0">
      <sharedItems containsSemiMixedTypes="0" containsString="0" containsNumber="1" containsInteger="1" minValue="0" maxValue="40" count="2">
        <n v="0"/>
        <n v="40"/>
      </sharedItems>
    </cacheField>
    <cacheField name="GreigeWidth" numFmtId="0">
      <sharedItems containsSemiMixedTypes="0" containsString="0" containsNumber="1" containsInteger="1" minValue="0" maxValue="0" count="1">
        <n v="0"/>
      </sharedItems>
    </cacheField>
    <cacheField name="ReelSpeed" numFmtId="0">
      <sharedItems containsSemiMixedTypes="0" containsString="0" containsNumber="1" containsInteger="1" minValue="0" maxValue="300" count="11">
        <n v="280"/>
        <n v="170"/>
        <n v="300"/>
        <n v="260"/>
        <n v="200"/>
        <n v="150"/>
        <n v="160"/>
        <n v="220"/>
        <n v="180"/>
        <n v="240"/>
        <n v="270"/>
      </sharedItems>
    </cacheField>
    <cacheField name="PumpSpeed" numFmtId="0">
      <sharedItems containsSemiMixedTypes="0" containsString="0" containsNumber="1" containsInteger="1" minValue="0" maxValue="1250" count="8">
        <n v="1200"/>
        <n v="1000"/>
        <n v="1150"/>
        <n v="800"/>
        <n v="1100"/>
        <n v="80"/>
        <n v="1250"/>
        <n v="900"/>
      </sharedItems>
    </cacheField>
    <cacheField name="MaxReelSpeed" numFmtId="0">
      <sharedItems containsSemiMixedTypes="0" containsString="0" containsNumber="1" containsInteger="1" minValue="0" maxValue="0" count="1">
        <n v="0"/>
      </sharedItems>
    </cacheField>
    <cacheField name="Absortion" numFmtId="0">
      <sharedItems containsSemiMixedTypes="0" containsString="0" containsNumber="1" minValue="0" maxValue="2.2999999999999998" count="5">
        <n v="2"/>
        <n v="1.8"/>
        <n v="2.2999999999999998"/>
        <n v="1"/>
        <n v="0"/>
      </sharedItems>
    </cacheField>
    <cacheField name="Nozzle" numFmtId="0">
      <sharedItems containsSemiMixedTypes="0" containsString="0" containsNumber="1" containsInteger="1" minValue="0" maxValue="60" count="3">
        <n v="40"/>
        <n v="30"/>
        <n v="60"/>
      </sharedItems>
    </cacheField>
    <cacheField name="SapLot" numFmtId="0">
      <sharedItems count="56">
        <s v="1000138655"/>
        <s v="1000138889"/>
        <s v="1000142018"/>
        <s v="1000133873"/>
        <s v="1000120189"/>
        <s v="1000128354"/>
        <s v="1000130825"/>
        <s v="1000138313"/>
        <s v="1000137920"/>
        <s v="1000129238"/>
        <s v="1000138667"/>
        <s v="1000143249"/>
        <s v="1000124543"/>
        <s v="1000132726"/>
        <s v="1000124478"/>
        <s v="1000141706"/>
        <s v="1000142101"/>
        <s v="1000128377"/>
        <s v="1000141710"/>
        <s v="1000144313"/>
        <s v="1000141340"/>
        <s v="1000141718"/>
        <s v="1000138677"/>
        <s v="1000124744"/>
        <s v="1000144477"/>
        <s v="1000143228"/>
        <s v="1000142929"/>
        <s v="1000119999"/>
        <s v="1000142784"/>
        <s v="1000120190"/>
        <s v="1000135949"/>
        <s v="1000138670"/>
        <s v="1000124475"/>
        <s v="1000140315"/>
        <s v="1000140318"/>
        <s v="1000143250"/>
        <s v="1000135836"/>
        <s v="1000141708"/>
        <s v="1000137894"/>
        <s v="1000142870"/>
        <s v="1000142102"/>
        <s v="1000124534"/>
        <s v="1000140296"/>
        <s v="1000138091"/>
        <s v="1000144473"/>
        <s v="1000107123"/>
        <s v="1000126151"/>
        <s v="1000143248"/>
        <s v="1000133789"/>
        <s v="1000126030"/>
        <s v="1000130826"/>
        <s v="1000144476"/>
        <s v="1000124488"/>
        <s v="1000133874"/>
        <s v="1000138766"/>
        <s v="1000114518"/>
      </sharedItems>
    </cacheField>
    <cacheField name="CustomerCode" numFmtId="0">
      <sharedItems containsNonDate="0" containsString="0" containsBlank="1" count="1">
        <m/>
      </sharedItems>
    </cacheField>
    <cacheField name="CustomerPO" numFmtId="0">
      <sharedItems containsNonDate="0" containsString="0" containsBlank="1" count="1">
        <m/>
      </sharedItems>
    </cacheField>
    <cacheField name="FabricType" numFmtId="0">
      <sharedItems count="3">
        <s v="CVC"/>
        <s v="Polyester"/>
        <s v="Cotton"/>
      </sharedItems>
    </cacheField>
    <cacheField name="CustomerColor" numFmtId="0">
      <sharedItems count="39">
        <s v="S-D0NGOC"/>
        <s v="S-H8M2LF"/>
        <s v="S-J6M0MA"/>
        <s v="S-CDN1M2"/>
        <s v="S-IIMCM5"/>
        <s v="S-CBP1NC"/>
        <s v="S-J7N2L3"/>
        <s v="S-BBN1MA"/>
        <s v="S-GFO1M2"/>
        <s v="S-D3MCM9"/>
        <s v="S-CHN3M0"/>
        <s v="S-BGN0MB"/>
        <s v="S-B7N0MB"/>
        <s v="S-JINCLB"/>
        <s v="S-E1MAO2"/>
        <s v="S-HAMEPB"/>
        <s v="S-GHNDN8"/>
        <s v="S-BINCMF"/>
        <s v="S-GDNDMB"/>
        <s v="S-G3N8MD"/>
        <s v="S-IIOCM2"/>
        <s v="S-D8NHO7"/>
        <s v="S-G2M5N3"/>
        <s v="S-GJQ8MD"/>
        <s v="S-I2N7RH"/>
        <s v="S-JHN2L0"/>
        <s v="S-DBPFL1"/>
        <s v="S-H5M9LD"/>
        <s v="S-I5MAOB"/>
        <s v="S-BHN1MA"/>
        <s v="S-E3S7QE"/>
        <s v="S-GGM1MA"/>
        <s v="S-C8N0N1"/>
        <s v="S-BFM0M1"/>
        <s v="S-B6MAMC"/>
        <s v="S-IENGWF"/>
        <s v="S-H1N2O8"/>
        <s v="S-F2NCNE"/>
        <s v="S-CFMBKA"/>
      </sharedItems>
    </cacheField>
    <cacheField name="FabricCode" numFmtId="0">
      <sharedItems count="45">
        <s v="9F00-0003013-00000041"/>
        <s v="9F00-0002375-00000085"/>
        <s v="9F00-0002348-00000011"/>
        <s v="9F00-0002976-00000002"/>
        <s v="9F00-0003050-00000042"/>
        <s v="9F00-0003011-00000047"/>
        <s v="9F00-0002652-00000015"/>
        <s v="9F00-0002502-00000013"/>
        <s v="9F00-0002684-00000046"/>
        <s v="9F00-0000423-00000454"/>
        <s v="9F00-0002904-00000019"/>
        <s v="9F00-0000574-00000404"/>
        <s v="9F00-0003429-00000003"/>
        <s v="9F00-0002585-00000001"/>
        <s v="9F00-0003429-00000004"/>
        <s v="9F00-0003431-00000002"/>
        <s v="9F00-0003144-00000001"/>
        <s v="9F00-0002684-00000042"/>
        <s v="9F00-0003430-00000011"/>
        <s v="9F00-0002653-00000008"/>
        <s v="9F00-0002652-00000012"/>
        <s v="9F00-0003430-00000012"/>
        <s v="9F00-0002669-00000119"/>
        <s v="9F00-0003429-00000006"/>
        <s v="9F00-0002652-00000014"/>
        <s v="9F00-0003213-00000005"/>
        <s v="9F00-0003078-00000013"/>
        <s v="9F00-0003344-00000003"/>
        <s v="9F00-0002416-00000207"/>
        <s v="9F00-0003076-00000004"/>
        <s v="9F00-0002663-00000077"/>
        <s v="9F00-0002416-00000001"/>
        <s v="9F00-0000602-00000186"/>
        <s v="9F00-0002669-00000009"/>
        <s v="9F00-0003430-00000005"/>
        <s v="9F00-0003011-00000012"/>
        <s v="9F00-0003076-00000012"/>
        <s v="9F00-0002856-00000037"/>
        <s v="9F00-0002084-00000036"/>
        <s v="9F00-0002652-00000021"/>
        <s v="9F00-0003429-00000011"/>
        <s v="9F00-0003199-00000005"/>
        <s v="9F00-0002553-00000004"/>
        <s v="9F00-0002653-00000042"/>
        <s v="9F00-0003440-00000003"/>
      </sharedItems>
    </cacheField>
    <cacheField name="WoQty" numFmtId="0">
      <sharedItems count="43">
        <s v="9V2609614"/>
        <s v="9V2609574"/>
        <s v="9V2609544"/>
        <s v="9V2609455"/>
        <s v="9V2608768"/>
        <s v="9V2609089"/>
        <s v="9V2609312"/>
        <s v="9V2609518"/>
        <s v="9V2609528"/>
        <s v="9V2609191"/>
        <s v="9VS262611"/>
        <s v="9V2609775"/>
        <s v="9V2608844"/>
        <s v="9V2609320"/>
        <s v="9V2609694"/>
        <s v="9V2609270"/>
        <s v="9V2609088"/>
        <s v="9V2609693"/>
        <s v="9V2610072"/>
        <s v="9V2609719"/>
        <s v="9VS263665"/>
        <s v="9V2609001"/>
        <s v="9V2610071"/>
        <s v="9V2609780"/>
        <s v="9V2609745"/>
        <s v="9V2608603"/>
        <s v="9VS263732"/>
        <s v="9V2609489"/>
        <s v="9V2609621"/>
        <s v="9V2609539"/>
        <s v="9V2609555"/>
        <s v="9VS263582"/>
        <s v="9V2609480"/>
        <s v="9V2609744"/>
        <s v="9V2609266"/>
        <s v="9V2609538"/>
        <s v="9V2609572"/>
        <s v="9V2608271"/>
        <s v="9V2609060"/>
        <s v="9V2609429"/>
        <s v="9V2609068"/>
        <s v="9V2609619"/>
        <s v="9V2608305"/>
      </sharedItems>
    </cacheField>
    <cacheField name="FabricContent" numFmtId="0">
      <sharedItems count="16">
        <s v="59.5% Cotton 40.5% Polyester"/>
        <s v="72.5% Cotton 27.5% Polyester"/>
        <s v="100% Recycle Polyester"/>
        <s v="70.86% Cotton 29.14% Recycle Polyester"/>
        <s v="76.32% Polyester 19.08% Lyocell 4.6% Elastane"/>
        <s v="69.6% Cotton 30.4% Polyester"/>
        <s v="100% Cotton"/>
        <s v="70% Acrylic 30% Viscose"/>
        <s v="69.7% Cotton 30.3% Polyester"/>
        <s v="78.8% Cotton 21.2% Polyester"/>
        <s v="83.2% Recycled Polyester + 16.8% Elastane"/>
        <s v="65.3% Cotton 34.7% Polyester"/>
        <s v="100% Recycled Polyester"/>
        <s v="64.7% Cotton 35.3% Polyester"/>
        <s v="84.6% Recycled Polyester + 15.4% Elastane"/>
        <s v="93% Cotton 7% Spandex"/>
      </sharedItems>
    </cacheField>
    <cacheField name="Note1" numFmtId="0">
      <sharedItems containsBlank="1" count="12">
        <m/>
        <s v="*cho xe ra vai+cho khach hang di*"/>
        <s v="*cho xe ra vai*"/>
        <s v="*CHO XAC NHAN CT*"/>
        <s v="*CHO SS01"/>
        <s v="---"/>
        <s v="ONG LY XAC NHN KO TAY*CHUA CO XE RA VAI*"/>
        <s v="VAI TRONG MAY TINH LUYEN OK GIAO NHUOM"/>
        <s v="53"/>
        <s v="*CHO DINH BIEN,CHO XE RA VAI *"/>
        <s v="dc dap mau"/>
        <s v="TY TRONG 1.025"/>
      </sharedItems>
    </cacheField>
    <cacheField name="Note2" numFmtId="0">
      <sharedItems containsBlank="1" count="14">
        <m/>
        <s v="KT NHIET MAY"/>
        <s v="VAI TRONG MAY ,TINH LUYEN OK CHO NHUOM R"/>
        <s v="*CHO SS01"/>
        <s v="80*15 1011 2G/L TRUOC NHUOM"/>
        <s v="TY TRONG MUOI 1.02"/>
        <s v="53"/>
        <s v="1D-03"/>
        <s v="*CHO XE RA VAI *"/>
        <s v="CHO XE RA VAI"/>
        <s v="*CHO XE RA VAI*"/>
        <s v="ty trong muoi 1.06 "/>
        <s v="*CHO DD02*"/>
        <s v="ty trong muoi 1.05"/>
      </sharedItems>
    </cacheField>
    <cacheField name="Note3" numFmtId="0">
      <sharedItems containsBlank="1" count="7">
        <m/>
        <s v="1D-01, 2D-02, 3D-02, 4d-02/5C-01/6CD-03"/>
        <s v="CBA 1G/L TRONG NHUOM"/>
        <s v="CHI LAI CT MAUR"/>
        <s v="05-NG DOI SOPAING 878"/>
        <s v="CHOWWA01"/>
        <s v="ty trong 1.062 "/>
      </sharedItems>
    </cacheField>
    <cacheField name="Note4" numFmtId="0">
      <sharedItems containsBlank="1" count="46">
        <s v="03-NG"/>
        <s v="06-NG # BON, CAT 2 YARD TINH LUYEN"/>
        <s v="08-OK ST C260689600"/>
        <s v="08-OK ST C260703910_x0009_"/>
        <s v="03-NG, THE DAU, CAT 2Y VAI"/>
        <s v="02-OK ST C260696850"/>
        <s v="09-OK ST C260698870/C260698850"/>
        <s v="08-OK ST C260706420 (MA)"/>
        <s v="08-OK ST C260708220 (SUA PHAN LOAI)"/>
        <s v="01-NG, FYR0047671, THE DAU, CAT 2Y VAI"/>
        <s v="01-NG, FYR0048220"/>
        <s v="08-OK ST C260695190 (MA)"/>
        <s v="06-NG # LOT SOI, GOP C260692240"/>
        <s v="01-NG, FYR0047327, THE DAU, CAT 2Y VAI"/>
        <s v="06-NG, GOP# LOT SOI C260691740, CAT VAI 2 THE XEM MAU"/>
        <s v="06-NG, KHAC BON"/>
        <s v="08-OK ST C260696970_x0009_"/>
        <s v="03-NG, GOP C260712970, THE DAU, CAT 2Y VAI"/>
        <s v="08-OK ST C260649510"/>
        <s v="06-NG, GOP#LOT C260712540, CAT VAI 2 THE XEM MAU"/>
        <s v="06-NG # LOT SOI. GOP C260713050_x000a_"/>
        <s v="05-NG, CT SAMPLE"/>
        <s v="06-NG, KHAC LOT SOI, THE DAU, CAT 2Y VAI"/>
        <s v="01-NG, FYR0042756, CAT 2Y VAI, NHUOM MAY H"/>
        <s v="04-NG BAC DING XEM MAU"/>
        <s v="08-OK CT K ON DINH, THEO DOI THEM"/>
        <s v="07-NG, CT SAMPLE"/>
        <s v="03-NG, THE DAU"/>
        <s v="04-NG ST C260705790"/>
        <m/>
        <s v="08-OK ST C260687110, GOP C260691790"/>
        <s v="04-NG ST C260710740"/>
        <s v="05-NG BO SS20, THEO DOI"/>
        <s v="01-NG, FYR0048335"/>
        <s v="04-NG ST C260712960, GOP C260712950_x000a__x000a_"/>
        <s v="04-NG ST C260707430_x0009_"/>
        <s v="03-NG, THE DAU, CAT 2Y VAI (SUA PHAN LOAI)"/>
        <s v="06-NG, GOP#LOT SOI C260692150, CAT VAI 2 THE XEM MAU"/>
        <s v="08-OK ST C260607190, GOP C260710540, THE DAU, CAT 2Y VAI"/>
        <s v="09-OK, DAI TRA OK"/>
        <s v="06-NG # LOT SOI, CT FL"/>
        <s v="08-OK ST C260710380_x000a_"/>
        <s v="04-NG ST C260693000"/>
        <s v="04-NG ST C260716910"/>
        <s v="08-OK ST C260687110, GOP C260691840"/>
        <s v="06-NG, KHAC LOT SOI, CT CHINH TAY, THE DAU, CAT 2Y VAI"/>
      </sharedItems>
    </cacheField>
    <cacheField name="Note5" numFmtId="0">
      <sharedItems containsNonDate="0" containsString="0" containsBlank="1" count="1">
        <m/>
      </sharedItems>
    </cacheField>
    <cacheField name="ScheduleTime" numFmtId="0">
      <sharedItems containsSemiMixedTypes="0" containsString="0" containsNumber="1" minValue="0" maxValue="46301.018402777801" count="57">
        <n v="46299.2746064815"/>
        <n v="46299.1036342593"/>
        <n v="46299.706215277802"/>
        <n v="46299.271307870396"/>
        <n v="46300.213043981501"/>
        <n v="46298.9823958333"/>
        <n v="46299.678275462997"/>
        <n v="46300.124074074098"/>
        <n v="46299.687245370398"/>
        <n v="46299.163935185199"/>
        <n v="46298.824212963002"/>
        <n v="46300.209849537001"/>
        <n v="46299.521122685197"/>
        <n v="46300.327800925901"/>
        <n v="46300.211585648103"/>
        <n v="46299.157291666699"/>
        <n v="46300.493587962999"/>
        <n v="46299.937986111101"/>
        <n v="46299.803506944401"/>
        <n v="46299.942650463003"/>
        <n v="46299.940439814804"/>
        <n v="46299.803553240701"/>
        <n v="46298.750289351898"/>
        <n v="46299.9534375"/>
        <n v="46299.933692129598"/>
        <n v="46300.347858796304"/>
        <n v="46299.194212962997"/>
        <n v="46300.328125"/>
        <n v="46300.433865740699"/>
        <n v="46300.6091087963"/>
        <n v="46299.9899421296"/>
        <n v="46300.606064814798"/>
        <n v="46300.050844907397"/>
        <n v="46300.665069444498"/>
        <n v="46300.434687499997"/>
        <n v="46298.847407407397"/>
        <n v="46299.677881944401"/>
        <n v="46299.753206018497"/>
        <n v="46299.5223148148"/>
        <n v="46299.725046296298"/>
        <n v="46300.4518634259"/>
        <n v="46300.479560185202"/>
        <n v="46300.543877314798"/>
        <n v="46300.6379282407"/>
        <n v="46299.944224537001"/>
        <n v="46300.573530092603"/>
        <n v="46300.192245370403"/>
        <n v="46300.631874999999"/>
        <n v="46301.018402777801"/>
        <n v="46300.650844907403"/>
        <n v="46300.340289351901"/>
        <n v="46300.452083333301"/>
        <n v="46300.387800925899"/>
        <n v="46301.003946759301"/>
        <n v="46299.9934490741"/>
        <n v="46300.707037036998"/>
        <n v="46300.597534722197"/>
      </sharedItems>
    </cacheField>
    <cacheField name="StartTime" numFmtId="0">
      <sharedItems containsSemiMixedTypes="0" containsString="0" containsNumber="1" minValue="0" maxValue="46301.046643518501" count="57">
        <n v="46299.455358796302"/>
        <n v="46299.760787036997"/>
        <n v="46300.205729166701"/>
        <n v="46299.7867708333"/>
        <n v="46300.224421296298"/>
        <n v="46299.741851851897"/>
        <n v="46300.245231481502"/>
        <n v="46300.130590277797"/>
        <n v="46299.977037037002"/>
        <n v="46299.392222222203"/>
        <n v="46300.318703703699"/>
        <n v="46300.327743055597"/>
        <n v="46300.0926736111"/>
        <n v="46300.4947106482"/>
        <n v="46300.303773148102"/>
        <n v="46300.356574074103"/>
        <n v="46300.537905092599"/>
        <n v="46300.049965277802"/>
        <n v="46300.035567129598"/>
        <n v="46300.208090277803"/>
        <n v="46300.289074074099"/>
        <n v="46300.039131944402"/>
        <n v="46300.294432870403"/>
        <n v="46300.2953472222"/>
        <n v="46300.290509259299"/>
        <n v="46300.364039351902"/>
        <n v="46300.326284722199"/>
        <n v="46300.7132291667"/>
        <n v="46300.526921296303"/>
        <n v="46300.629085648201"/>
        <n v="46300.5396064815"/>
        <n v="46300.607418981497"/>
        <n v="46300.316423611097"/>
        <n v="46300.733124999999"/>
        <n v="46300.534097222197"/>
        <n v="46300.621666666702"/>
        <n v="46300.518472222197"/>
        <n v="46300.340648148202"/>
        <n v="46300.298715277801"/>
        <n v="46300.289745370399"/>
        <n v="46300.751608796301"/>
        <n v="46300.647754629601"/>
        <n v="46300.687650462998"/>
        <n v="46300.793136574102"/>
        <n v="46300.312106481499"/>
        <n v="46300.797916666699"/>
        <n v="46300.788321759297"/>
        <n v="46300.793969907398"/>
        <n v="46301.046643518501"/>
        <n v="46301.023472222201"/>
        <n v="46300.788912037002"/>
        <n v="46300.947210648199"/>
        <n v="46300.829108796301"/>
        <n v="46301.017384259299"/>
        <n v="46300.4944791667"/>
        <n v="46300.784490740698"/>
        <n v="46300.787222222199"/>
      </sharedItems>
    </cacheField>
    <cacheField name="EndTime" numFmtId="0">
      <sharedItems containsSemiMixedTypes="0" containsString="0" containsNumber="1" minValue="0" maxValue="46301.290497685201" count="57">
        <n v="46300.307824074102"/>
        <n v="46300.431562500002"/>
        <n v="46300.475868055597"/>
        <n v="46300.4816782407"/>
        <n v="46300.537557870397"/>
        <n v="46300.542013888902"/>
        <n v="46300.592523148101"/>
        <n v="46300.592835648102"/>
        <n v="46300.607141203698"/>
        <n v="46300.626296296301"/>
        <n v="46300.636041666701"/>
        <n v="46300.664236111101"/>
        <n v="46300.670127314799"/>
        <n v="46300.691319444399"/>
        <n v="46300.704884259299"/>
        <n v="46300.710567129601"/>
        <n v="46300.744675925896"/>
        <n v="46300.753958333298"/>
        <n v="46300.755289351902"/>
        <n v="46300.758298611101"/>
        <n v="46300.764166666697"/>
        <n v="46300.7713194444"/>
        <n v="46300.778854166703"/>
        <n v="46300.784328703703"/>
        <n v="46300.785000000003"/>
        <n v="46300.8289814815"/>
        <n v="46300.901574074102"/>
        <n v="46300.904305555603"/>
        <n v="46300.936631944402"/>
        <n v="46300.963807870401"/>
        <n v="46300.9745833333"/>
        <n v="46301.005150463003"/>
        <n v="46301.008518518502"/>
        <n v="46301.0171064815"/>
        <n v="46301.023425925901"/>
        <n v="46301.034444444398"/>
        <n v="46301.035833333299"/>
        <n v="46301.079687500001"/>
        <n v="46301.0835069444"/>
        <n v="46301.137523148202"/>
        <n v="46301.151192129597"/>
        <n v="46301.171053240701"/>
        <n v="46301.211516203701"/>
        <n v="46301.214155092603"/>
        <n v="46301.231782407398"/>
        <n v="46301.2588888889"/>
        <n v="46301.260324074101"/>
        <n v="46301.271377314799"/>
        <n v="46301.277013888903"/>
        <n v="46301.278020833299"/>
        <n v="46301.278252314798"/>
        <n v="46301.278275463003"/>
        <n v="46301.280972222201"/>
        <n v="46301.285092592603"/>
        <n v="46301.285150463002"/>
        <n v="46301.290034722202"/>
        <n v="46301.290497685201"/>
      </sharedItems>
    </cacheField>
    <cacheField name="RunTime" numFmtId="0">
      <sharedItems containsSemiMixedTypes="0" containsString="0" containsNumber="1" containsInteger="1" minValue="0" maxValue="106624" count="57">
        <n v="73653"/>
        <n v="57955"/>
        <n v="23340"/>
        <n v="60040"/>
        <n v="27055"/>
        <n v="69134"/>
        <n v="30006"/>
        <n v="39938"/>
        <n v="54441"/>
        <n v="106624"/>
        <n v="27418"/>
        <n v="29073"/>
        <n v="49892"/>
        <n v="16987"/>
        <n v="34656"/>
        <n v="30585"/>
        <n v="17865"/>
        <n v="60825"/>
        <n v="62184"/>
        <n v="47538"/>
        <n v="41048"/>
        <n v="63261"/>
        <n v="41854"/>
        <n v="42248"/>
        <n v="42724"/>
        <n v="40171"/>
        <n v="49705"/>
        <n v="16509"/>
        <n v="35399"/>
        <n v="28920"/>
        <n v="37582"/>
        <n v="34364"/>
        <n v="59797"/>
        <n v="24536"/>
        <n v="42278"/>
        <n v="35664"/>
        <n v="44700"/>
        <n v="63853"/>
        <n v="67806"/>
        <n v="73248"/>
        <n v="34524"/>
        <n v="45213"/>
        <n v="45262"/>
        <n v="36376"/>
        <n v="79460"/>
        <n v="39828"/>
        <n v="40781"/>
        <n v="41248"/>
        <n v="19904"/>
        <n v="21993"/>
        <n v="42279"/>
        <n v="28604"/>
        <n v="39041"/>
        <n v="23130"/>
        <n v="68314"/>
        <n v="43679"/>
        <n v="43483"/>
      </sharedItems>
    </cacheField>
    <cacheField name="SetTime" numFmtId="0">
      <sharedItems containsSemiMixedTypes="0" containsString="0" containsNumber="1" containsInteger="1" minValue="0" maxValue="103620" count="35">
        <n v="70920"/>
        <n v="79740"/>
        <n v="39660"/>
        <n v="65700"/>
        <n v="49860"/>
        <n v="103620"/>
        <n v="83280"/>
        <n v="77820"/>
        <n v="0"/>
        <n v="27900"/>
        <n v="47820"/>
        <n v="25080"/>
        <n v="32880"/>
        <n v="39540"/>
        <n v="91020"/>
        <n v="77520"/>
        <n v="61140"/>
        <n v="56040"/>
        <n v="74100"/>
        <n v="75360"/>
        <n v="53880"/>
        <n v="41280"/>
        <n v="38340"/>
        <n v="62040"/>
        <n v="50280"/>
        <n v="55860"/>
        <n v="34200"/>
        <n v="30420"/>
        <n v="78300"/>
        <n v="99720"/>
        <n v="57060"/>
        <n v="66900"/>
        <n v="68520"/>
        <n v="76680"/>
        <n v="70500"/>
      </sharedItems>
    </cacheField>
    <cacheField name="StopTime" numFmtId="0">
      <sharedItems containsSemiMixedTypes="0" containsString="0" containsNumber="1" containsInteger="1" minValue="0" maxValue="1072" count="37">
        <n v="31"/>
        <n v="0"/>
        <n v="27"/>
        <n v="26"/>
        <n v="236"/>
        <n v="14"/>
        <n v="106"/>
        <n v="291"/>
        <n v="7"/>
        <n v="1072"/>
        <n v="18"/>
        <n v="153"/>
        <n v="6"/>
        <n v="273"/>
        <n v="115"/>
        <n v="9"/>
        <n v="426"/>
        <n v="35"/>
        <n v="354"/>
        <n v="15"/>
        <n v="12"/>
        <n v="220"/>
        <n v="22"/>
        <n v="94"/>
        <n v="362"/>
        <n v="28"/>
        <n v="23"/>
        <n v="75"/>
        <n v="17"/>
        <n v="483"/>
        <n v="4"/>
        <n v="58"/>
        <n v="91"/>
        <n v="723"/>
        <n v="11"/>
        <n v="570"/>
        <n v="820"/>
      </sharedItems>
    </cacheField>
    <cacheField name="OperatorTime" numFmtId="0">
      <sharedItems containsSemiMixedTypes="0" containsString="0" containsNumber="1" containsInteger="1" minValue="0" maxValue="7147" count="48">
        <n v="3172"/>
        <n v="1191"/>
        <n v="1014"/>
        <n v="980"/>
        <n v="2160"/>
        <n v="3125"/>
        <n v="908"/>
        <n v="3235"/>
        <n v="2003"/>
        <n v="0"/>
        <n v="652"/>
        <n v="1782"/>
        <n v="858"/>
        <n v="1466"/>
        <n v="1153"/>
        <n v="1441"/>
        <n v="3597"/>
        <n v="1226"/>
        <n v="2246"/>
        <n v="1862"/>
        <n v="1130"/>
        <n v="1413"/>
        <n v="1744"/>
        <n v="1308"/>
        <n v="2445"/>
        <n v="1306"/>
        <n v="3007"/>
        <n v="1649"/>
        <n v="3219"/>
        <n v="3580"/>
        <n v="583"/>
        <n v="2072"/>
        <n v="3852"/>
        <n v="2916"/>
        <n v="7147"/>
        <n v="1675"/>
        <n v="3501"/>
        <n v="1253"/>
        <n v="2900"/>
        <n v="2497"/>
        <n v="1197"/>
        <n v="1229"/>
        <n v="802"/>
        <n v="1275"/>
        <n v="769"/>
        <n v="1381"/>
        <n v="757"/>
        <n v="1631"/>
      </sharedItems>
    </cacheField>
    <cacheField name="CorrectionTime" numFmtId="0">
      <sharedItems containsSemiMixedTypes="0" containsString="0" containsNumber="1" containsInteger="1" minValue="0" maxValue="34720" count="2">
        <n v="0"/>
        <n v="34720"/>
      </sharedItems>
    </cacheField>
    <cacheField name="ManualTime" numFmtId="0">
      <sharedItems containsSemiMixedTypes="0" containsString="0" containsNumber="1" containsInteger="1" minValue="0" maxValue="224" count="42">
        <n v="32"/>
        <n v="6"/>
        <n v="63"/>
        <n v="224"/>
        <n v="106"/>
        <n v="3"/>
        <n v="18"/>
        <n v="31"/>
        <n v="20"/>
        <n v="0"/>
        <n v="7"/>
        <n v="27"/>
        <n v="144"/>
        <n v="39"/>
        <n v="43"/>
        <n v="40"/>
        <n v="127"/>
        <n v="129"/>
        <n v="196"/>
        <n v="29"/>
        <n v="17"/>
        <n v="14"/>
        <n v="8"/>
        <n v="22"/>
        <n v="55"/>
        <n v="37"/>
        <n v="62"/>
        <n v="35"/>
        <n v="24"/>
        <n v="205"/>
        <n v="96"/>
        <n v="112"/>
        <n v="48"/>
        <n v="94"/>
        <n v="13"/>
        <n v="59"/>
        <n v="139"/>
        <n v="117"/>
        <n v="54"/>
        <n v="137"/>
        <n v="72"/>
        <n v="47"/>
      </sharedItems>
    </cacheField>
    <cacheField name="StopAlarmTime" numFmtId="0">
      <sharedItems containsSemiMixedTypes="0" containsString="0" containsNumber="1" containsInteger="1" minValue="0" maxValue="5" count="2">
        <n v="0"/>
        <n v="5"/>
      </sharedItems>
    </cacheField>
    <cacheField name="HoldAlarmTime" numFmtId="0">
      <sharedItems containsSemiMixedTypes="0" containsString="0" containsNumber="1" containsInteger="1" minValue="0" maxValue="0" count="1">
        <n v="0"/>
      </sharedItems>
    </cacheField>
    <cacheField name="DiffTime" numFmtId="0">
      <sharedItems containsSemiMixedTypes="0" containsString="0" containsNumber="1" containsInteger="1" minValue="-43342" maxValue="106624" count="57">
        <n v="2733"/>
        <n v="-21785"/>
        <n v="-16320"/>
        <n v="-5660"/>
        <n v="-22805"/>
        <n v="-34486"/>
        <n v="-19854"/>
        <n v="-43342"/>
        <n v="-23379"/>
        <n v="106624"/>
        <n v="-482"/>
        <n v="29073"/>
        <n v="2072"/>
        <n v="-8093"/>
        <n v="1776"/>
        <n v="-8955"/>
        <n v="-7215"/>
        <n v="-16995"/>
        <n v="-28836"/>
        <n v="-29982"/>
        <n v="-20092"/>
        <n v="7221"/>
        <n v="41854"/>
        <n v="-31852"/>
        <n v="-32636"/>
        <n v="-13709"/>
        <n v="8425"/>
        <n v="-8571"/>
        <n v="-2941"/>
        <n v="-20940"/>
        <n v="-24458"/>
        <n v="-15916"/>
        <n v="3937"/>
        <n v="-8344"/>
        <n v="42278"/>
        <n v="1464"/>
        <n v="44700"/>
        <n v="33433"/>
        <n v="-10494"/>
        <n v="-26472"/>
        <n v="-22536"/>
        <n v="-21687"/>
        <n v="-2558"/>
        <n v="36376"/>
        <n v="8540"/>
        <n v="1488"/>
        <n v="-27739"/>
        <n v="41248"/>
        <n v="19904"/>
        <n v="21993"/>
        <n v="-31821"/>
        <n v="-21256"/>
        <n v="-36319"/>
        <n v="-9750"/>
        <n v="2614"/>
        <n v="-33001"/>
        <n v="-27017"/>
      </sharedItems>
    </cacheField>
    <cacheField name="Percent" numFmtId="0">
      <sharedItems containsSemiMixedTypes="0" containsString="0" containsNumber="1" minValue="0" maxValue="209.90466798159099" count="49">
        <n v="103.85363790186101"/>
        <n v="72.679959869576095"/>
        <n v="58.850226928895601"/>
        <n v="91.385083713850804"/>
        <n v="54.261933413557998"/>
        <n v="66.718780158270604"/>
        <n v="60.1805054151625"/>
        <n v="47.956292026897202"/>
        <n v="69.957594448727804"/>
        <n v="0"/>
        <n v="98.272401433691797"/>
        <n v="104.332915098285"/>
        <n v="67.731259968102094"/>
        <n v="105.401459854015"/>
        <n v="77.352048558421899"/>
        <n v="71.232057416268006"/>
        <n v="78.161141094834207"/>
        <n v="68.319050758075207"/>
        <n v="61.323529411764703"/>
        <n v="67.137716715734399"/>
        <n v="112.885438972163"/>
        <n v="57.0148448043185"/>
        <n v="56.693205944798301"/>
        <n v="74.556421677802504"/>
        <n v="120.40939922480599"/>
        <n v="65.825358851674594"/>
        <n v="92.329160146061596"/>
        <n v="58.0024067388688"/>
        <n v="60.577047066408802"/>
        <n v="68.345266507557696"/>
        <n v="107.04797708557101"/>
        <n v="74.622871046228695"/>
        <n v="104.280701754386"/>
        <n v="209.90466798159099"/>
        <n v="86.597701149425305"/>
        <n v="73.453670276775"/>
        <n v="60.5047318611987"/>
        <n v="67.582959641255599"/>
        <n v="94.650773734839007"/>
        <n v="112.04173716864101"/>
        <n v="103.881064162754"/>
        <n v="59.5169293636894"/>
        <n v="57.056680161943298"/>
        <n v="57.368632170076197"/>
        <n v="51.805997876857802"/>
        <n v="70.346715328467198"/>
        <n v="103.97869101978699"/>
        <n v="56.962702138758502"/>
        <n v="61.678014184397199"/>
      </sharedItems>
    </cacheField>
    <cacheField name="SoftWater" numFmtId="0">
      <sharedItems containsSemiMixedTypes="0" containsString="0" containsNumber="1" containsInteger="1" minValue="0" maxValue="45744" count="48">
        <n v="16700"/>
        <n v="14440"/>
        <n v="10330"/>
        <n v="27120"/>
        <n v="14360"/>
        <n v="19110"/>
        <n v="41530"/>
        <n v="3980"/>
        <n v="20670"/>
        <n v="0"/>
        <n v="178"/>
        <n v="22910"/>
        <n v="8030"/>
        <n v="44070"/>
        <n v="5270"/>
        <n v="3930"/>
        <n v="21230"/>
        <n v="32354"/>
        <n v="15020"/>
        <n v="20880"/>
        <n v="35400"/>
        <n v="25570"/>
        <n v="45744"/>
        <n v="5060"/>
        <n v="2474"/>
        <n v="6630"/>
        <n v="516"/>
        <n v="13000"/>
        <n v="10670"/>
        <n v="2320"/>
        <n v="12300"/>
        <n v="35760"/>
        <n v="504"/>
        <n v="672"/>
        <n v="26422"/>
        <n v="26720"/>
        <n v="8620"/>
        <n v="4740"/>
        <n v="28980"/>
        <n v="26000"/>
        <n v="33513"/>
        <n v="26730"/>
        <n v="37080"/>
        <n v="40084"/>
        <n v="39320"/>
        <n v="35770"/>
        <n v="26840"/>
        <n v="6860"/>
      </sharedItems>
    </cacheField>
    <cacheField name="HotWater" numFmtId="0">
      <sharedItems containsSemiMixedTypes="0" containsString="0" containsNumber="1" minValue="0" maxValue="43680" count="39">
        <n v="16170"/>
        <n v="4200"/>
        <n v="0"/>
        <n v="34400"/>
        <n v="3400"/>
        <n v="14480"/>
        <n v="11540"/>
        <n v="3620"/>
        <n v="712"/>
        <n v="34050"/>
        <n v="2610"/>
        <n v="3720"/>
        <n v="549.5"/>
        <n v="12720"/>
        <n v="12320"/>
        <n v="9360"/>
        <n v="11550"/>
        <n v="967.8"/>
        <n v="4800"/>
        <n v="1120"/>
        <n v="688"/>
        <n v="3420"/>
        <n v="5120"/>
        <n v="23880"/>
        <n v="3690"/>
        <n v="672"/>
        <n v="10334"/>
        <n v="43680"/>
        <n v="2140"/>
        <n v="6800"/>
        <n v="20730"/>
        <n v="18270"/>
        <n v="15040"/>
        <n v="651.9"/>
        <n v="13490"/>
        <n v="860.8"/>
        <n v="33730"/>
        <n v="12750"/>
        <n v="4550"/>
      </sharedItems>
    </cacheField>
    <cacheField name="HardWater" numFmtId="0">
      <sharedItems containsSemiMixedTypes="0" containsString="0" containsNumber="1" containsInteger="1" minValue="0" maxValue="0" count="1">
        <n v="0"/>
      </sharedItems>
    </cacheField>
    <cacheField name="MixWater" numFmtId="0">
      <sharedItems containsSemiMixedTypes="0" containsString="0" containsNumber="1" containsInteger="1" minValue="0" maxValue="47320" count="26">
        <n v="2780"/>
        <n v="0"/>
        <n v="23450"/>
        <n v="2840"/>
        <n v="3220"/>
        <n v="203"/>
        <n v="47320"/>
        <n v="34000"/>
        <n v="1260"/>
        <n v="38242"/>
        <n v="5260"/>
        <n v="6120"/>
        <n v="45744"/>
        <n v="195"/>
        <n v="34780"/>
        <n v="5670"/>
        <n v="1200"/>
        <n v="46910"/>
        <n v="6490"/>
        <n v="40249"/>
        <n v="9470"/>
        <n v="40084"/>
        <n v="34570"/>
        <n v="10930"/>
        <n v="6360"/>
        <n v="6810"/>
      </sharedItems>
    </cacheField>
    <cacheField name="SumAllTypeWater" numFmtId="0">
      <sharedItems containsSemiMixedTypes="0" containsString="0" containsNumber="1" minValue="0" maxValue="104280" count="46">
        <n v="35650"/>
        <n v="18640"/>
        <n v="10330"/>
        <n v="84970"/>
        <n v="17760"/>
        <n v="36430"/>
        <n v="41530"/>
        <n v="18740"/>
        <n v="24290"/>
        <n v="0"/>
        <n v="1093"/>
        <n v="104280"/>
        <n v="8030"/>
        <n v="78070"/>
        <n v="9140"/>
        <n v="3930"/>
        <n v="24950"/>
        <n v="27740"/>
        <n v="38460"/>
        <n v="44760"/>
        <n v="43240"/>
        <n v="967.7"/>
        <n v="9860"/>
        <n v="3594"/>
        <n v="6630"/>
        <n v="1399"/>
        <n v="16420"/>
        <n v="15790"/>
        <n v="26200"/>
        <n v="15990"/>
        <n v="70540"/>
        <n v="1371"/>
        <n v="867"/>
        <n v="76070"/>
        <n v="10760"/>
        <n v="12740"/>
        <n v="96620"/>
        <n v="37750"/>
        <n v="47530"/>
        <n v="49690"/>
        <n v="37080"/>
        <n v="860.8"/>
        <n v="73890"/>
        <n v="80430"/>
        <n v="45950"/>
        <n v="18220"/>
      </sharedItems>
    </cacheField>
    <cacheField name="WaterxKg" numFmtId="0">
      <sharedItems containsSemiMixedTypes="0" containsString="0" containsNumber="1" minValue="0" maxValue="107.61539999999999" count="46">
        <n v="70.734120000000004"/>
        <n v="53.409739999999999"/>
        <n v="33.3872"/>
        <n v="69.306690000000003"/>
        <n v="36.618560000000002"/>
        <n v="70.60078"/>
        <n v="35.479050000000001"/>
        <n v="38.012169999999998"/>
        <n v="46.982590000000002"/>
        <n v="0"/>
        <n v="78.071430000000007"/>
        <n v="47.900779999999997"/>
        <n v="26.147829999999999"/>
        <n v="37.200989999999997"/>
        <n v="47.357509999999998"/>
        <n v="24.71698"/>
        <n v="46.986820000000002"/>
        <n v="47.096780000000003"/>
        <n v="39.937690000000003"/>
        <n v="63.851640000000003"/>
        <n v="38.884889999999999"/>
        <n v="0.88052770000000002"/>
        <n v="67.53425"/>
        <n v="89.85"/>
        <n v="18.6236"/>
        <n v="107.61539999999999"/>
        <n v="33.716630000000002"/>
        <n v="39.673369999999998"/>
        <n v="53.144019999999998"/>
        <n v="65.265299999999996"/>
        <n v="32.399410000000003"/>
        <n v="91.4"/>
        <n v="57.8"/>
        <n v="73.21463"/>
        <n v="42.278979999999997"/>
        <n v="85.503360000000001"/>
        <n v="45.149529999999999"/>
        <n v="74.900790000000001"/>
        <n v="40.075890000000001"/>
        <n v="45.213830000000002"/>
        <n v="31.535969999999999"/>
        <n v="0.78669350000000005"/>
        <n v="33.510199999999998"/>
        <n v="66.034480000000002"/>
        <n v="39.347490000000001"/>
        <n v="38.68365"/>
      </sharedItems>
    </cacheField>
    <cacheField name="Power" numFmtId="0">
      <sharedItems containsSemiMixedTypes="0" containsString="0" containsNumber="1" minValue="0" maxValue="456.4" count="41">
        <n v="161"/>
        <n v="132"/>
        <n v="49"/>
        <n v="250"/>
        <n v="57"/>
        <n v="131"/>
        <n v="125"/>
        <n v="134"/>
        <n v="122"/>
        <n v="0"/>
        <n v="10"/>
        <n v="456.4"/>
        <n v="38"/>
        <n v="322.39999999999998"/>
        <n v="48"/>
        <n v="28"/>
        <n v="138"/>
        <n v="104"/>
        <n v="183"/>
        <n v="334"/>
        <n v="193"/>
        <n v="64"/>
        <n v="35"/>
        <n v="13"/>
        <n v="62"/>
        <n v="84"/>
        <n v="198"/>
        <n v="216.5"/>
        <n v="50"/>
        <n v="313"/>
        <n v="72"/>
        <n v="61"/>
        <n v="413.1"/>
        <n v="172"/>
        <n v="206"/>
        <n v="176"/>
        <n v="116"/>
        <n v="209.2"/>
        <n v="283"/>
        <n v="182"/>
        <n v="101"/>
      </sharedItems>
    </cacheField>
    <cacheField name="PowerxKg" numFmtId="0">
      <sharedItems containsSemiMixedTypes="0" containsString="0" containsNumber="1" minValue="0" maxValue="3.3333330000000001" count="44">
        <n v="0.31944440000000002"/>
        <n v="0.37822349999999999"/>
        <n v="0.15837100000000001"/>
        <n v="0.20391519999999999"/>
        <n v="0.1175258"/>
        <n v="0.25387599999999999"/>
        <n v="0.1067874"/>
        <n v="0.27180530000000003"/>
        <n v="0.23597679999999999"/>
        <n v="0"/>
        <n v="0.71428570000000002"/>
        <n v="0.20964630000000001"/>
        <n v="0.12373820000000001"/>
        <n v="0.15362619999999999"/>
        <n v="0.2487047"/>
        <n v="0.1761006"/>
        <n v="0.25988699999999998"/>
        <n v="0.17657049999999999"/>
        <n v="0.19003120000000001"/>
        <n v="0.4764622"/>
        <n v="0.1735612"/>
        <n v="0.43835619999999997"/>
        <n v="0.875"/>
        <n v="9.8314609999999997E-2"/>
        <n v="1"/>
        <n v="0.12731010000000001"/>
        <n v="0.2110553"/>
        <n v="0.21095330000000001"/>
        <n v="0.80816330000000003"/>
        <n v="9.9439650000000004E-2"/>
        <n v="0.86666670000000001"/>
        <n v="3.3333330000000001"/>
        <n v="0.3012512"/>
        <n v="0.28290769999999998"/>
        <n v="0.40939599999999998"/>
        <n v="0.1930374"/>
        <n v="0.34126990000000001"/>
        <n v="0.17369309999999999"/>
        <n v="0.1601456"/>
        <n v="9.8656229999999998E-2"/>
        <n v="9.4875280000000006E-2"/>
        <n v="0.2323481"/>
        <n v="0.1558486"/>
        <n v="0.2144374"/>
      </sharedItems>
    </cacheField>
    <cacheField name="HeatingEnergy" numFmtId="0">
      <sharedItems containsSemiMixedTypes="0" containsString="0" containsNumber="1" containsInteger="1" minValue="0" maxValue="36383" count="42">
        <n v="1297"/>
        <n v="840"/>
        <n v="459"/>
        <n v="2497"/>
        <n v="509"/>
        <n v="1386"/>
        <n v="2001"/>
        <n v="768"/>
        <n v="1142"/>
        <n v="0"/>
        <n v="2578"/>
        <n v="290"/>
        <n v="155"/>
        <n v="171"/>
        <n v="1148"/>
        <n v="711"/>
        <n v="961"/>
        <n v="682"/>
        <n v="880"/>
        <n v="28077"/>
        <n v="584"/>
        <n v="139"/>
        <n v="285"/>
        <n v="575"/>
        <n v="492"/>
        <n v="336"/>
        <n v="1022"/>
        <n v="131"/>
        <n v="641"/>
        <n v="2563"/>
        <n v="274"/>
        <n v="254"/>
        <n v="2282"/>
        <n v="1264"/>
        <n v="1275"/>
        <n v="865"/>
        <n v="2006"/>
        <n v="36383"/>
        <n v="8"/>
        <n v="2489"/>
        <n v="1131"/>
        <n v="486"/>
      </sharedItems>
    </cacheField>
    <cacheField name="SteamxKg" numFmtId="0">
      <sharedItems containsSemiMixedTypes="0" containsString="0" containsNumber="1" minValue="0" maxValue="33.250779999999999" count="42">
        <n v="2.573413"/>
        <n v="2.4068770000000002"/>
        <n v="1.4835160000000001"/>
        <n v="2.036705"/>
        <n v="1.0494840000000001"/>
        <n v="2.6860469999999999"/>
        <n v="1.7094529999999999"/>
        <n v="1.557809"/>
        <n v="2.208898"/>
        <n v="0"/>
        <n v="1.1841980000000001"/>
        <n v="0.94431779999999998"/>
        <n v="0.80310879999999996"/>
        <n v="1.075472"/>
        <n v="2.1619579999999998"/>
        <n v="1.207131"/>
        <n v="0.99792309999999995"/>
        <n v="0.97289590000000004"/>
        <n v="0.79136689999999998"/>
        <n v="25.54777"/>
        <n v="4"/>
        <n v="3.4750000000000001"/>
        <n v="0.80056179999999999"/>
        <n v="1.180698"/>
        <n v="1.236181"/>
        <n v="0.68154159999999997"/>
        <n v="4.1714289999999998"/>
        <n v="8.7333339999999993"/>
        <n v="0.81864630000000005"/>
        <n v="2.4667949999999998"/>
        <n v="1.0766210000000001"/>
        <n v="1.704698"/>
        <n v="1.0663549999999999"/>
        <n v="2.5079359999999999"/>
        <n v="1.0750420000000001"/>
        <n v="0.78707919999999998"/>
        <n v="1.706072"/>
        <n v="33.250779999999999"/>
        <n v="3.6281180000000001E-3"/>
        <n v="2.0435140000000001"/>
        <n v="0.96848769999999995"/>
        <n v="1.031847"/>
      </sharedItems>
    </cacheField>
    <cacheField name="CorrectionCnt" numFmtId="0">
      <sharedItems containsSemiMixedTypes="0" containsString="0" containsNumber="1" containsInteger="1" minValue="0" maxValue="3" count="2">
        <n v="0"/>
        <n v="3"/>
      </sharedItems>
    </cacheField>
    <cacheField name="AlarmCnt" numFmtId="0">
      <sharedItems containsSemiMixedTypes="0" containsString="0" containsNumber="1" containsInteger="1" minValue="0" maxValue="83" count="29">
        <n v="32"/>
        <n v="22"/>
        <n v="27"/>
        <n v="64"/>
        <n v="19"/>
        <n v="43"/>
        <n v="18"/>
        <n v="0"/>
        <n v="12"/>
        <n v="34"/>
        <n v="17"/>
        <n v="31"/>
        <n v="11"/>
        <n v="13"/>
        <n v="35"/>
        <n v="16"/>
        <n v="10"/>
        <n v="56"/>
        <n v="20"/>
        <n v="15"/>
        <n v="36"/>
        <n v="63"/>
        <n v="83"/>
        <n v="29"/>
        <n v="42"/>
        <n v="30"/>
        <n v="70"/>
        <n v="28"/>
        <n v="50"/>
      </sharedItems>
    </cacheField>
    <cacheField name="InterventionCnt" numFmtId="0">
      <sharedItems containsSemiMixedTypes="0" containsString="0" containsNumber="1" containsInteger="1" minValue="0" maxValue="121" count="32">
        <n v="34"/>
        <n v="8"/>
        <n v="23"/>
        <n v="81"/>
        <n v="12"/>
        <n v="17"/>
        <n v="14"/>
        <n v="0"/>
        <n v="6"/>
        <n v="7"/>
        <n v="15"/>
        <n v="4"/>
        <n v="22"/>
        <n v="5"/>
        <n v="10"/>
        <n v="20"/>
        <n v="56"/>
        <n v="39"/>
        <n v="9"/>
        <n v="11"/>
        <n v="19"/>
        <n v="49"/>
        <n v="13"/>
        <n v="37"/>
        <n v="16"/>
        <n v="21"/>
        <n v="48"/>
        <n v="121"/>
        <n v="41"/>
        <n v="75"/>
        <n v="50"/>
        <n v="33"/>
      </sharedItems>
    </cacheField>
    <cacheField name="DyeCost" numFmtId="0">
      <sharedItems containsSemiMixedTypes="0" containsString="0" containsNumber="1" minValue="0" maxValue="998.09360000000004" count="37">
        <n v="96.254909999999995"/>
        <n v="0"/>
        <n v="526.65440000000001"/>
        <n v="0.44872200000000001"/>
        <n v="184.80269999999999"/>
        <n v="98.460440000000006"/>
        <n v="51.037909999999997"/>
        <n v="2.858422"/>
        <n v="976.64260000000002"/>
        <n v="60.088079999999998"/>
        <n v="13.46467"/>
        <n v="16.083939999999998"/>
        <n v="198.56229999999999"/>
        <n v="133.6095"/>
        <n v="0.223635"/>
        <n v="0.9287434"/>
        <n v="0.45057239999999998"/>
        <n v="0.30164560000000001"/>
        <n v="22.624790000000001"/>
        <n v="665.23720000000003"/>
        <n v="6.3912120000000003"/>
        <n v="966.69370000000004"/>
        <n v="0.1607278"/>
        <n v="45.934640000000002"/>
        <n v="356.7004"/>
        <n v="1.3950480000000001"/>
        <n v="52.737000000000002"/>
        <n v="59.0717"/>
        <n v="6.0753409999999999"/>
        <n v="96.254350000000002"/>
        <n v="998.09360000000004"/>
        <n v="978.48"/>
        <n v="68.378479999999996"/>
        <n v="132.053"/>
        <n v="523.22019999999998"/>
        <n v="47.055880000000002"/>
        <n v="151.7921"/>
      </sharedItems>
    </cacheField>
    <cacheField name="ChemicalCost" numFmtId="0">
      <sharedItems containsSemiMixedTypes="0" containsString="0" containsNumber="1" containsInteger="1" minValue="0" maxValue="0" count="1">
        <n v="0"/>
      </sharedItems>
    </cacheField>
    <cacheField name="TotalCorrectionCnt" numFmtId="0">
      <sharedItems containsString="0" containsBlank="1" containsNumber="1" containsInteger="1" minValue="0" maxValue="6" count="3">
        <m/>
        <n v="6"/>
        <n v="3"/>
      </sharedItems>
    </cacheField>
    <cacheField name="WashingCorrection" numFmtId="0">
      <sharedItems containsString="0" containsBlank="1" containsNumber="1" containsInteger="1" minValue="0" maxValue="0" count="2">
        <m/>
        <n v="0"/>
      </sharedItems>
    </cacheField>
    <cacheField name="DyestuffCorrrection" numFmtId="0">
      <sharedItems containsString="0" containsBlank="1" containsNumber="1" containsInteger="1" minValue="0" maxValue="5" count="3">
        <m/>
        <n v="5"/>
        <n v="3"/>
      </sharedItems>
    </cacheField>
    <cacheField name="ChemicalCorrrection" numFmtId="0">
      <sharedItems containsString="0" containsBlank="1" containsNumber="1" containsInteger="1" minValue="0" maxValue="1" count="3">
        <m/>
        <n v="1"/>
        <n v="0"/>
      </sharedItems>
    </cacheField>
    <cacheField name="FuyangRequest" numFmtId="0">
      <sharedItems count="48">
        <s v="FYR0048404"/>
        <s v="FYR0048121"/>
        <s v="FYR0045630"/>
        <s v="FYR0047610"/>
        <s v="FYR0047175"/>
        <s v="FYR0047536"/>
        <s v="FYR0048425"/>
        <s v="FYR0047840"/>
        <s v="FYR0048221"/>
        <s v="FYR0047671"/>
        <s v="FYR0048220"/>
        <s v="FYR0048907"/>
        <s v="FYR0048665"/>
        <s v="FYR0047327"/>
        <s v="FYR0048656"/>
        <s v="FYR0048504"/>
        <s v="FYR0048592"/>
        <s v="FYR0046914"/>
        <s v="FYR0048516"/>
        <s v="FYR0048984"/>
        <s v="FYR0048526"/>
        <s v="FYR0048644"/>
        <s v="FYR0048131"/>
        <s v="FYR0048661"/>
        <s v="FYR0049060"/>
        <s v="FYR0049076"/>
        <s v="FYR0048705"/>
        <s v="FYR0046992"/>
        <s v="FYR0048775"/>
        <s v="FYR0047734"/>
        <s v="NoFuyangRequest"/>
        <s v="FYR0048137"/>
        <s v="FYR0048418"/>
        <s v="FYR0048407"/>
        <s v="FYR0048335"/>
        <s v="FYR0048641"/>
        <s v="FYR0048713"/>
        <s v="FYR0048508"/>
        <s v="FYR0048649"/>
        <s v="FYR0048450"/>
        <s v="FYR0048028"/>
        <s v="FYR0049059"/>
        <s v="FYR0048441"/>
        <s v="FYR0047982"/>
        <s v="FYR0047313"/>
        <s v="FYR0048639"/>
        <s v="FYR0048253"/>
        <s v="FYR0048796"/>
      </sharedItems>
    </cacheField>
    <cacheField name="Note" numFmtId="0">
      <sharedItems count="54">
        <s v="03-NG"/>
        <s v="*cho xe ra vai+cho khach hang di*06-NG # BON, CAT 2 YARD TINH LUYEN"/>
        <s v="*cho xe ra vai*08-OK ST C260689600"/>
        <s v="08-OK ST C260703910_x0009_"/>
        <s v="*CHO XAC NHAN CT*03-NG, THE DAU, CAT 2Y VAI"/>
        <s v="02-OK ST C260696850"/>
        <s v="09-OK ST C260698870/C260698850"/>
        <s v="08-OK ST C260706420 (MA)"/>
        <s v="*CHO SS0108-OK ST C260708220 (SUA PHAN LOAI)"/>
        <s v="---KT NHIET MAY1D-01, 2D-02, 3D-02, 4d-02/5C-01/6CD-0301-NG, FYR0047671, THE DAU, CAT 2Y VAI"/>
        <s v="01-NG, FYR0048220"/>
        <s v="*CHO XE RA VAI*08-OK ST C260695190 (MA)"/>
        <s v="*CHO XE RA VAI*06-NG # LOT SOI, GOP C260692240"/>
        <s v="01-NG, FYR0047327, THE DAU, CAT 2Y VAI"/>
        <s v="CBA 1G/L TRONG NHUOM06-NG, GOP# LOT SOI C260691740, CAT VAI 2 THE XEM MAU"/>
        <s v="VAI TRONG MAY ,TINH LUYEN OK CHO NHUOM R03-NG, THE DAU, CAT 2Y VAI"/>
        <s v="*CHO SS0106-NG, KHAC BON"/>
        <s v="*CHO XE RA VAI*08-OK ST C260696970_x0009_"/>
        <s v="*CHO XE RA VAI*03-NG, GOP C260712970, THE DAU, CAT 2Y VAI"/>
        <s v="*CHO XE RA VAI*08-OK ST C260649510"/>
        <s v="06-NG, GOP#LOT C260712540, CAT VAI 2 THE XEM MAU"/>
        <s v="06-NG # LOT SOI. GOP C260713050_x000a_"/>
        <s v="05-NG, CT SAMPLE"/>
        <s v="06-NG, KHAC LOT SOI, THE DAU, CAT 2Y VAI"/>
        <s v="ONG LY XAC NHN KO TAY*CHUA CO XE RA VAI*06-NG, KHAC LOT SOI, THE DAU, CAT 2Y VAI"/>
        <s v="01-NG, FYR0042756, CAT 2Y VAI, NHUOM MAY H"/>
        <s v="VAI TRONG MAY TINH LUYEN OK GIAO NHUOM80*15 1011 2G/L TRUOC NHUOM04-NG BAC DING XEM MAU"/>
        <s v="08-OK CT K ON DINH, THEO DOI THEM"/>
        <s v="5307-NG, CT SAMPLE"/>
        <s v="03-NG, THE DAU"/>
        <s v="TY TRONG MUOI 1.0204-NG ST C260705790"/>
        <s v="CHI LAI CT MAUR03-NG, THE DAU, CAT 2Y VAI"/>
        <s v="*CHO DINH BIEN,CHO XE RA VAI *05-NG DOI SOPAING 878"/>
        <s v="08-OK ST C260687110, GOP C260691790"/>
        <s v="04-NG ST C260710740"/>
        <s v="53CHOWWA0105-NG BO SS20, THEO DOI"/>
        <s v="08-OK ST C260695190 (MA)"/>
        <s v="dc dap mau1D-0301-NG, FYR0048335"/>
        <s v="*CHO XE RA VAI *04-NG ST C260712960, GOP C260712950_x000a__x000a_"/>
        <s v="04-NG ST C260707430_x0009_"/>
        <s v="TY TRONG 1.025CHO XE RA VAI03-NG, THE DAU"/>
        <s v="*CHO XE RA VAI*03-NG, THE DAU, CAT 2Y VAI (SUA PHAN LOAI)"/>
        <s v="ty trong muoi 1.06 06-NG, GOP#LOT SOI C260692150, CAT VAI 2 THE XEM MAU"/>
        <s v="08-OK ST C260607190, GOP C260710540, THE DAU, CAT 2Y VAI"/>
        <s v="ty trong 1.062 03-NG"/>
        <s v="09-OK, DAI TRA OK"/>
        <s v="06-NG # LOT SOI, CT FL"/>
        <s v="*CHO DD02*08-OK ST C260695190 (MA)"/>
        <s v="08-OK ST C260710380_x000a_"/>
        <s v="04-NG ST C260693000"/>
        <s v="04-NG ST C260716910"/>
        <s v="08-OK ST C260687110, GOP C260691840"/>
        <s v="03-NG, THE DAU, CAT 2Y VAI"/>
        <s v="ty trong muoi 1.0506-NG, KHAC LOT SOI, CT CHINH TAY, THE DAU, CAT 2Y VAI"/>
      </sharedItems>
    </cacheField>
    <cacheField name="STAGE" numFmtId="0">
      <sharedItems count="3">
        <s v="2nd batch"/>
        <s v="bulk to bulk"/>
        <s v="lab to bulk"/>
      </sharedItems>
    </cacheField>
    <cacheField name="MachineGroup2" numFmtId="0">
      <sharedItems count="2">
        <s v="&gt;=500kg"/>
        <s v="Small Machine"/>
      </sharedItems>
    </cacheField>
    <cacheField name="DyeingRFT" numFmtId="0">
      <sharedItems count="2">
        <s v="OK"/>
        <s v="NG"/>
      </sharedItems>
    </cacheField>
    <cacheField name="NewBatch" numFmtId="0">
      <sharedItems count="56">
        <s v="C260708661"/>
        <s v="C260709571"/>
        <s v="C260713441"/>
        <s v="C260703921"/>
        <s v="C260703141"/>
        <s v="C260696871"/>
        <s v="C260698911"/>
        <s v="C260708101"/>
        <s v="C260708231"/>
        <s v="C260698121"/>
        <s v="C260709441"/>
        <s v="C260715771"/>
        <s v="C260692251"/>
        <s v="C260701741"/>
        <s v="C260691761"/>
        <s v="C260712941"/>
        <s v="C260713581"/>
        <s v="C260697021"/>
        <s v="C260712981"/>
        <s v="C260716761"/>
        <s v="C260712531"/>
        <s v="C260713061"/>
        <s v="C260712171"/>
        <s v="C260693001"/>
        <s v="C260716911"/>
        <s v="C260715021"/>
        <s v="C260714651"/>
        <s v="C260687921"/>
        <s v="C260714871"/>
        <s v="C260703151"/>
        <s v="C260705801"/>
        <s v="C260709471"/>
        <s v="C260691731"/>
        <s v="C260710731"/>
        <s v="C260712341"/>
        <s v="C260715781"/>
        <s v="C260708461"/>
        <s v="C260712961"/>
        <s v="C260707461"/>
        <s v="C260714691"/>
        <s v="C260713511"/>
        <s v="C260692161"/>
        <s v="C260710531"/>
        <s v="C260708001"/>
        <s v="C260716871"/>
        <s v="C260673941"/>
        <s v="C260695081"/>
        <s v="C260715761"/>
        <s v="C260703861"/>
        <s v="C260694611"/>
        <s v="C260698921"/>
        <s v="C260716901"/>
        <s v="C260691861"/>
        <s v="C260703931"/>
        <s v="C260709181"/>
        <s v="C260679831"/>
      </sharedItems>
    </cacheField>
    <cacheField name="ReworkCount" numFmtId="0">
      <sharedItems count="3">
        <s v="OK"/>
        <s v="Adjustment"/>
        <s v="Re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1"/>
    <x v="1"/>
    <x v="0"/>
    <x v="1"/>
    <x v="0"/>
    <x v="0"/>
    <x v="1"/>
    <x v="0"/>
    <x v="0"/>
    <x v="1"/>
    <x v="1"/>
    <x v="0"/>
    <x v="0"/>
    <x v="1"/>
    <x v="0"/>
    <x v="0"/>
    <x v="0"/>
    <x v="0"/>
    <x v="1"/>
    <x v="0"/>
    <x v="0"/>
    <x v="0"/>
    <x v="1"/>
    <x v="1"/>
    <x v="1"/>
    <x v="1"/>
    <x v="1"/>
    <x v="0"/>
    <x v="0"/>
    <x v="1"/>
    <x v="0"/>
    <x v="1"/>
    <x v="1"/>
    <x v="1"/>
    <x v="1"/>
    <x v="1"/>
    <x v="1"/>
    <x v="1"/>
    <x v="0"/>
    <x v="1"/>
    <x v="0"/>
    <x v="0"/>
    <x v="1"/>
    <x v="1"/>
    <x v="1"/>
    <x v="1"/>
    <x v="0"/>
    <x v="1"/>
    <x v="1"/>
    <x v="1"/>
    <x v="1"/>
    <x v="1"/>
    <x v="1"/>
    <x v="1"/>
    <x v="0"/>
    <x v="1"/>
    <x v="1"/>
    <x v="1"/>
    <x v="0"/>
    <x v="0"/>
    <x v="0"/>
    <x v="0"/>
    <x v="0"/>
    <x v="1"/>
    <x v="1"/>
    <x v="0"/>
    <x v="0"/>
    <x v="0"/>
    <x v="1"/>
    <x v="0"/>
  </r>
  <r>
    <x v="1"/>
    <x v="0"/>
    <x v="2"/>
    <x v="2"/>
    <x v="2"/>
    <x v="2"/>
    <x v="1"/>
    <x v="2"/>
    <x v="0"/>
    <x v="2"/>
    <x v="2"/>
    <x v="0"/>
    <x v="2"/>
    <x v="0"/>
    <x v="0"/>
    <x v="2"/>
    <x v="0"/>
    <x v="0"/>
    <x v="2"/>
    <x v="2"/>
    <x v="0"/>
    <x v="0"/>
    <x v="2"/>
    <x v="1"/>
    <x v="0"/>
    <x v="1"/>
    <x v="1"/>
    <x v="2"/>
    <x v="0"/>
    <x v="0"/>
    <x v="1"/>
    <x v="2"/>
    <x v="2"/>
    <x v="2"/>
    <x v="2"/>
    <x v="2"/>
    <x v="0"/>
    <x v="0"/>
    <x v="2"/>
    <x v="0"/>
    <x v="2"/>
    <x v="2"/>
    <x v="2"/>
    <x v="2"/>
    <x v="2"/>
    <x v="2"/>
    <x v="2"/>
    <x v="0"/>
    <x v="2"/>
    <x v="0"/>
    <x v="0"/>
    <x v="2"/>
    <x v="2"/>
    <x v="2"/>
    <x v="2"/>
    <x v="0"/>
    <x v="1"/>
    <x v="2"/>
    <x v="2"/>
    <x v="2"/>
    <x v="2"/>
    <x v="2"/>
    <x v="2"/>
    <x v="0"/>
    <x v="2"/>
    <x v="2"/>
    <x v="1"/>
    <x v="0"/>
    <x v="0"/>
    <x v="0"/>
    <x v="0"/>
    <x v="0"/>
    <x v="2"/>
    <x v="2"/>
    <x v="1"/>
    <x v="0"/>
    <x v="0"/>
    <x v="2"/>
    <x v="0"/>
  </r>
  <r>
    <x v="2"/>
    <x v="0"/>
    <x v="3"/>
    <x v="3"/>
    <x v="3"/>
    <x v="3"/>
    <x v="0"/>
    <x v="3"/>
    <x v="1"/>
    <x v="3"/>
    <x v="3"/>
    <x v="0"/>
    <x v="2"/>
    <x v="0"/>
    <x v="0"/>
    <x v="3"/>
    <x v="0"/>
    <x v="0"/>
    <x v="0"/>
    <x v="3"/>
    <x v="0"/>
    <x v="0"/>
    <x v="3"/>
    <x v="0"/>
    <x v="0"/>
    <x v="0"/>
    <x v="0"/>
    <x v="3"/>
    <x v="0"/>
    <x v="0"/>
    <x v="0"/>
    <x v="3"/>
    <x v="3"/>
    <x v="3"/>
    <x v="3"/>
    <x v="0"/>
    <x v="0"/>
    <x v="0"/>
    <x v="3"/>
    <x v="0"/>
    <x v="3"/>
    <x v="3"/>
    <x v="3"/>
    <x v="3"/>
    <x v="3"/>
    <x v="3"/>
    <x v="3"/>
    <x v="0"/>
    <x v="3"/>
    <x v="0"/>
    <x v="0"/>
    <x v="3"/>
    <x v="3"/>
    <x v="3"/>
    <x v="3"/>
    <x v="0"/>
    <x v="2"/>
    <x v="3"/>
    <x v="3"/>
    <x v="3"/>
    <x v="3"/>
    <x v="3"/>
    <x v="3"/>
    <x v="0"/>
    <x v="3"/>
    <x v="3"/>
    <x v="2"/>
    <x v="0"/>
    <x v="0"/>
    <x v="0"/>
    <x v="0"/>
    <x v="0"/>
    <x v="3"/>
    <x v="3"/>
    <x v="1"/>
    <x v="0"/>
    <x v="0"/>
    <x v="3"/>
    <x v="0"/>
  </r>
  <r>
    <x v="0"/>
    <x v="0"/>
    <x v="4"/>
    <x v="4"/>
    <x v="4"/>
    <x v="4"/>
    <x v="1"/>
    <x v="4"/>
    <x v="0"/>
    <x v="4"/>
    <x v="4"/>
    <x v="0"/>
    <x v="0"/>
    <x v="1"/>
    <x v="0"/>
    <x v="4"/>
    <x v="0"/>
    <x v="0"/>
    <x v="0"/>
    <x v="4"/>
    <x v="0"/>
    <x v="0"/>
    <x v="2"/>
    <x v="2"/>
    <x v="0"/>
    <x v="0"/>
    <x v="0"/>
    <x v="4"/>
    <x v="0"/>
    <x v="0"/>
    <x v="0"/>
    <x v="4"/>
    <x v="4"/>
    <x v="4"/>
    <x v="4"/>
    <x v="3"/>
    <x v="0"/>
    <x v="0"/>
    <x v="4"/>
    <x v="0"/>
    <x v="4"/>
    <x v="4"/>
    <x v="4"/>
    <x v="4"/>
    <x v="4"/>
    <x v="4"/>
    <x v="4"/>
    <x v="0"/>
    <x v="4"/>
    <x v="0"/>
    <x v="0"/>
    <x v="4"/>
    <x v="4"/>
    <x v="4"/>
    <x v="4"/>
    <x v="0"/>
    <x v="1"/>
    <x v="4"/>
    <x v="4"/>
    <x v="4"/>
    <x v="4"/>
    <x v="4"/>
    <x v="4"/>
    <x v="0"/>
    <x v="4"/>
    <x v="1"/>
    <x v="3"/>
    <x v="0"/>
    <x v="0"/>
    <x v="0"/>
    <x v="0"/>
    <x v="0"/>
    <x v="4"/>
    <x v="4"/>
    <x v="0"/>
    <x v="0"/>
    <x v="0"/>
    <x v="4"/>
    <x v="0"/>
  </r>
  <r>
    <x v="0"/>
    <x v="0"/>
    <x v="5"/>
    <x v="5"/>
    <x v="5"/>
    <x v="5"/>
    <x v="0"/>
    <x v="5"/>
    <x v="0"/>
    <x v="5"/>
    <x v="5"/>
    <x v="0"/>
    <x v="3"/>
    <x v="0"/>
    <x v="0"/>
    <x v="5"/>
    <x v="0"/>
    <x v="0"/>
    <x v="0"/>
    <x v="5"/>
    <x v="0"/>
    <x v="0"/>
    <x v="4"/>
    <x v="0"/>
    <x v="0"/>
    <x v="0"/>
    <x v="0"/>
    <x v="5"/>
    <x v="0"/>
    <x v="0"/>
    <x v="0"/>
    <x v="5"/>
    <x v="5"/>
    <x v="5"/>
    <x v="5"/>
    <x v="0"/>
    <x v="0"/>
    <x v="0"/>
    <x v="5"/>
    <x v="0"/>
    <x v="5"/>
    <x v="5"/>
    <x v="5"/>
    <x v="5"/>
    <x v="5"/>
    <x v="5"/>
    <x v="5"/>
    <x v="0"/>
    <x v="5"/>
    <x v="0"/>
    <x v="0"/>
    <x v="5"/>
    <x v="5"/>
    <x v="5"/>
    <x v="5"/>
    <x v="0"/>
    <x v="3"/>
    <x v="5"/>
    <x v="5"/>
    <x v="5"/>
    <x v="5"/>
    <x v="5"/>
    <x v="5"/>
    <x v="0"/>
    <x v="2"/>
    <x v="4"/>
    <x v="4"/>
    <x v="0"/>
    <x v="0"/>
    <x v="0"/>
    <x v="0"/>
    <x v="0"/>
    <x v="5"/>
    <x v="5"/>
    <x v="0"/>
    <x v="0"/>
    <x v="0"/>
    <x v="5"/>
    <x v="0"/>
  </r>
  <r>
    <x v="0"/>
    <x v="0"/>
    <x v="6"/>
    <x v="6"/>
    <x v="6"/>
    <x v="6"/>
    <x v="1"/>
    <x v="6"/>
    <x v="1"/>
    <x v="6"/>
    <x v="6"/>
    <x v="0"/>
    <x v="4"/>
    <x v="0"/>
    <x v="0"/>
    <x v="6"/>
    <x v="0"/>
    <x v="0"/>
    <x v="1"/>
    <x v="6"/>
    <x v="0"/>
    <x v="0"/>
    <x v="2"/>
    <x v="0"/>
    <x v="0"/>
    <x v="2"/>
    <x v="0"/>
    <x v="6"/>
    <x v="0"/>
    <x v="0"/>
    <x v="2"/>
    <x v="6"/>
    <x v="6"/>
    <x v="6"/>
    <x v="6"/>
    <x v="0"/>
    <x v="0"/>
    <x v="0"/>
    <x v="6"/>
    <x v="0"/>
    <x v="6"/>
    <x v="6"/>
    <x v="6"/>
    <x v="6"/>
    <x v="4"/>
    <x v="6"/>
    <x v="6"/>
    <x v="0"/>
    <x v="6"/>
    <x v="0"/>
    <x v="0"/>
    <x v="6"/>
    <x v="6"/>
    <x v="6"/>
    <x v="2"/>
    <x v="0"/>
    <x v="1"/>
    <x v="6"/>
    <x v="6"/>
    <x v="6"/>
    <x v="6"/>
    <x v="6"/>
    <x v="6"/>
    <x v="0"/>
    <x v="0"/>
    <x v="5"/>
    <x v="1"/>
    <x v="0"/>
    <x v="0"/>
    <x v="0"/>
    <x v="0"/>
    <x v="0"/>
    <x v="6"/>
    <x v="6"/>
    <x v="1"/>
    <x v="0"/>
    <x v="0"/>
    <x v="6"/>
    <x v="0"/>
  </r>
  <r>
    <x v="0"/>
    <x v="0"/>
    <x v="7"/>
    <x v="7"/>
    <x v="7"/>
    <x v="7"/>
    <x v="2"/>
    <x v="7"/>
    <x v="0"/>
    <x v="7"/>
    <x v="7"/>
    <x v="0"/>
    <x v="2"/>
    <x v="0"/>
    <x v="0"/>
    <x v="7"/>
    <x v="0"/>
    <x v="0"/>
    <x v="2"/>
    <x v="7"/>
    <x v="0"/>
    <x v="0"/>
    <x v="2"/>
    <x v="0"/>
    <x v="0"/>
    <x v="1"/>
    <x v="0"/>
    <x v="7"/>
    <x v="0"/>
    <x v="0"/>
    <x v="0"/>
    <x v="7"/>
    <x v="7"/>
    <x v="7"/>
    <x v="7"/>
    <x v="0"/>
    <x v="0"/>
    <x v="0"/>
    <x v="7"/>
    <x v="0"/>
    <x v="7"/>
    <x v="7"/>
    <x v="7"/>
    <x v="7"/>
    <x v="6"/>
    <x v="7"/>
    <x v="7"/>
    <x v="0"/>
    <x v="7"/>
    <x v="0"/>
    <x v="0"/>
    <x v="7"/>
    <x v="7"/>
    <x v="7"/>
    <x v="6"/>
    <x v="0"/>
    <x v="4"/>
    <x v="7"/>
    <x v="7"/>
    <x v="7"/>
    <x v="7"/>
    <x v="7"/>
    <x v="7"/>
    <x v="0"/>
    <x v="5"/>
    <x v="6"/>
    <x v="5"/>
    <x v="0"/>
    <x v="0"/>
    <x v="0"/>
    <x v="0"/>
    <x v="0"/>
    <x v="7"/>
    <x v="7"/>
    <x v="1"/>
    <x v="0"/>
    <x v="0"/>
    <x v="7"/>
    <x v="0"/>
  </r>
  <r>
    <x v="0"/>
    <x v="0"/>
    <x v="8"/>
    <x v="8"/>
    <x v="8"/>
    <x v="8"/>
    <x v="1"/>
    <x v="8"/>
    <x v="0"/>
    <x v="8"/>
    <x v="8"/>
    <x v="0"/>
    <x v="3"/>
    <x v="0"/>
    <x v="0"/>
    <x v="8"/>
    <x v="0"/>
    <x v="0"/>
    <x v="0"/>
    <x v="8"/>
    <x v="0"/>
    <x v="0"/>
    <x v="2"/>
    <x v="0"/>
    <x v="0"/>
    <x v="0"/>
    <x v="0"/>
    <x v="8"/>
    <x v="0"/>
    <x v="0"/>
    <x v="0"/>
    <x v="8"/>
    <x v="8"/>
    <x v="8"/>
    <x v="8"/>
    <x v="4"/>
    <x v="0"/>
    <x v="0"/>
    <x v="8"/>
    <x v="0"/>
    <x v="8"/>
    <x v="8"/>
    <x v="8"/>
    <x v="8"/>
    <x v="7"/>
    <x v="8"/>
    <x v="8"/>
    <x v="0"/>
    <x v="8"/>
    <x v="0"/>
    <x v="0"/>
    <x v="8"/>
    <x v="8"/>
    <x v="8"/>
    <x v="7"/>
    <x v="0"/>
    <x v="1"/>
    <x v="8"/>
    <x v="8"/>
    <x v="8"/>
    <x v="8"/>
    <x v="8"/>
    <x v="8"/>
    <x v="0"/>
    <x v="6"/>
    <x v="5"/>
    <x v="1"/>
    <x v="0"/>
    <x v="0"/>
    <x v="0"/>
    <x v="0"/>
    <x v="0"/>
    <x v="8"/>
    <x v="8"/>
    <x v="0"/>
    <x v="0"/>
    <x v="0"/>
    <x v="8"/>
    <x v="0"/>
  </r>
  <r>
    <x v="1"/>
    <x v="0"/>
    <x v="9"/>
    <x v="9"/>
    <x v="9"/>
    <x v="9"/>
    <x v="2"/>
    <x v="9"/>
    <x v="2"/>
    <x v="9"/>
    <x v="9"/>
    <x v="0"/>
    <x v="5"/>
    <x v="0"/>
    <x v="0"/>
    <x v="9"/>
    <x v="0"/>
    <x v="0"/>
    <x v="3"/>
    <x v="9"/>
    <x v="0"/>
    <x v="0"/>
    <x v="4"/>
    <x v="0"/>
    <x v="0"/>
    <x v="2"/>
    <x v="0"/>
    <x v="9"/>
    <x v="0"/>
    <x v="0"/>
    <x v="1"/>
    <x v="9"/>
    <x v="9"/>
    <x v="9"/>
    <x v="2"/>
    <x v="5"/>
    <x v="1"/>
    <x v="1"/>
    <x v="9"/>
    <x v="0"/>
    <x v="9"/>
    <x v="9"/>
    <x v="9"/>
    <x v="9"/>
    <x v="8"/>
    <x v="1"/>
    <x v="9"/>
    <x v="0"/>
    <x v="9"/>
    <x v="0"/>
    <x v="0"/>
    <x v="9"/>
    <x v="9"/>
    <x v="9"/>
    <x v="2"/>
    <x v="0"/>
    <x v="1"/>
    <x v="9"/>
    <x v="9"/>
    <x v="9"/>
    <x v="9"/>
    <x v="9"/>
    <x v="9"/>
    <x v="0"/>
    <x v="7"/>
    <x v="7"/>
    <x v="6"/>
    <x v="0"/>
    <x v="1"/>
    <x v="0"/>
    <x v="1"/>
    <x v="1"/>
    <x v="9"/>
    <x v="9"/>
    <x v="2"/>
    <x v="0"/>
    <x v="1"/>
    <x v="9"/>
    <x v="1"/>
  </r>
  <r>
    <x v="1"/>
    <x v="0"/>
    <x v="10"/>
    <x v="10"/>
    <x v="10"/>
    <x v="10"/>
    <x v="0"/>
    <x v="10"/>
    <x v="3"/>
    <x v="10"/>
    <x v="10"/>
    <x v="0"/>
    <x v="5"/>
    <x v="0"/>
    <x v="1"/>
    <x v="10"/>
    <x v="0"/>
    <x v="0"/>
    <x v="4"/>
    <x v="10"/>
    <x v="0"/>
    <x v="0"/>
    <x v="5"/>
    <x v="3"/>
    <x v="0"/>
    <x v="1"/>
    <x v="1"/>
    <x v="10"/>
    <x v="0"/>
    <x v="0"/>
    <x v="1"/>
    <x v="10"/>
    <x v="10"/>
    <x v="10"/>
    <x v="2"/>
    <x v="0"/>
    <x v="0"/>
    <x v="0"/>
    <x v="10"/>
    <x v="0"/>
    <x v="10"/>
    <x v="10"/>
    <x v="10"/>
    <x v="10"/>
    <x v="9"/>
    <x v="1"/>
    <x v="10"/>
    <x v="0"/>
    <x v="10"/>
    <x v="0"/>
    <x v="0"/>
    <x v="10"/>
    <x v="10"/>
    <x v="10"/>
    <x v="8"/>
    <x v="0"/>
    <x v="5"/>
    <x v="10"/>
    <x v="10"/>
    <x v="10"/>
    <x v="10"/>
    <x v="9"/>
    <x v="9"/>
    <x v="0"/>
    <x v="8"/>
    <x v="8"/>
    <x v="7"/>
    <x v="0"/>
    <x v="0"/>
    <x v="0"/>
    <x v="0"/>
    <x v="0"/>
    <x v="10"/>
    <x v="10"/>
    <x v="2"/>
    <x v="1"/>
    <x v="1"/>
    <x v="10"/>
    <x v="2"/>
  </r>
  <r>
    <x v="3"/>
    <x v="0"/>
    <x v="11"/>
    <x v="11"/>
    <x v="11"/>
    <x v="11"/>
    <x v="0"/>
    <x v="11"/>
    <x v="4"/>
    <x v="11"/>
    <x v="10"/>
    <x v="0"/>
    <x v="2"/>
    <x v="0"/>
    <x v="0"/>
    <x v="11"/>
    <x v="0"/>
    <x v="0"/>
    <x v="5"/>
    <x v="11"/>
    <x v="0"/>
    <x v="0"/>
    <x v="6"/>
    <x v="0"/>
    <x v="0"/>
    <x v="2"/>
    <x v="0"/>
    <x v="11"/>
    <x v="0"/>
    <x v="0"/>
    <x v="1"/>
    <x v="11"/>
    <x v="11"/>
    <x v="11"/>
    <x v="2"/>
    <x v="2"/>
    <x v="0"/>
    <x v="0"/>
    <x v="11"/>
    <x v="0"/>
    <x v="11"/>
    <x v="11"/>
    <x v="11"/>
    <x v="11"/>
    <x v="8"/>
    <x v="1"/>
    <x v="9"/>
    <x v="0"/>
    <x v="9"/>
    <x v="0"/>
    <x v="0"/>
    <x v="11"/>
    <x v="9"/>
    <x v="9"/>
    <x v="2"/>
    <x v="0"/>
    <x v="1"/>
    <x v="9"/>
    <x v="9"/>
    <x v="9"/>
    <x v="9"/>
    <x v="9"/>
    <x v="9"/>
    <x v="0"/>
    <x v="7"/>
    <x v="7"/>
    <x v="8"/>
    <x v="0"/>
    <x v="0"/>
    <x v="0"/>
    <x v="0"/>
    <x v="0"/>
    <x v="11"/>
    <x v="11"/>
    <x v="1"/>
    <x v="0"/>
    <x v="0"/>
    <x v="11"/>
    <x v="0"/>
  </r>
  <r>
    <x v="0"/>
    <x v="0"/>
    <x v="12"/>
    <x v="12"/>
    <x v="12"/>
    <x v="12"/>
    <x v="0"/>
    <x v="12"/>
    <x v="5"/>
    <x v="12"/>
    <x v="11"/>
    <x v="0"/>
    <x v="1"/>
    <x v="0"/>
    <x v="0"/>
    <x v="12"/>
    <x v="0"/>
    <x v="0"/>
    <x v="0"/>
    <x v="12"/>
    <x v="0"/>
    <x v="0"/>
    <x v="0"/>
    <x v="2"/>
    <x v="0"/>
    <x v="2"/>
    <x v="1"/>
    <x v="12"/>
    <x v="0"/>
    <x v="0"/>
    <x v="2"/>
    <x v="12"/>
    <x v="12"/>
    <x v="12"/>
    <x v="6"/>
    <x v="2"/>
    <x v="0"/>
    <x v="0"/>
    <x v="12"/>
    <x v="0"/>
    <x v="12"/>
    <x v="12"/>
    <x v="12"/>
    <x v="12"/>
    <x v="10"/>
    <x v="9"/>
    <x v="11"/>
    <x v="0"/>
    <x v="10"/>
    <x v="0"/>
    <x v="0"/>
    <x v="12"/>
    <x v="11"/>
    <x v="11"/>
    <x v="9"/>
    <x v="0"/>
    <x v="6"/>
    <x v="11"/>
    <x v="11"/>
    <x v="11"/>
    <x v="11"/>
    <x v="10"/>
    <x v="10"/>
    <x v="0"/>
    <x v="9"/>
    <x v="9"/>
    <x v="9"/>
    <x v="0"/>
    <x v="0"/>
    <x v="0"/>
    <x v="0"/>
    <x v="0"/>
    <x v="12"/>
    <x v="12"/>
    <x v="0"/>
    <x v="0"/>
    <x v="0"/>
    <x v="12"/>
    <x v="0"/>
  </r>
  <r>
    <x v="1"/>
    <x v="0"/>
    <x v="13"/>
    <x v="10"/>
    <x v="13"/>
    <x v="2"/>
    <x v="1"/>
    <x v="2"/>
    <x v="0"/>
    <x v="13"/>
    <x v="12"/>
    <x v="0"/>
    <x v="5"/>
    <x v="0"/>
    <x v="0"/>
    <x v="13"/>
    <x v="0"/>
    <x v="0"/>
    <x v="6"/>
    <x v="13"/>
    <x v="0"/>
    <x v="0"/>
    <x v="0"/>
    <x v="2"/>
    <x v="0"/>
    <x v="1"/>
    <x v="2"/>
    <x v="13"/>
    <x v="0"/>
    <x v="0"/>
    <x v="1"/>
    <x v="2"/>
    <x v="13"/>
    <x v="13"/>
    <x v="2"/>
    <x v="0"/>
    <x v="0"/>
    <x v="0"/>
    <x v="13"/>
    <x v="0"/>
    <x v="13"/>
    <x v="13"/>
    <x v="13"/>
    <x v="13"/>
    <x v="11"/>
    <x v="10"/>
    <x v="12"/>
    <x v="0"/>
    <x v="11"/>
    <x v="0"/>
    <x v="0"/>
    <x v="13"/>
    <x v="12"/>
    <x v="12"/>
    <x v="2"/>
    <x v="0"/>
    <x v="1"/>
    <x v="12"/>
    <x v="12"/>
    <x v="12"/>
    <x v="12"/>
    <x v="11"/>
    <x v="11"/>
    <x v="0"/>
    <x v="10"/>
    <x v="5"/>
    <x v="1"/>
    <x v="0"/>
    <x v="0"/>
    <x v="0"/>
    <x v="0"/>
    <x v="0"/>
    <x v="13"/>
    <x v="13"/>
    <x v="2"/>
    <x v="0"/>
    <x v="1"/>
    <x v="13"/>
    <x v="2"/>
  </r>
  <r>
    <x v="0"/>
    <x v="0"/>
    <x v="12"/>
    <x v="12"/>
    <x v="14"/>
    <x v="13"/>
    <x v="1"/>
    <x v="13"/>
    <x v="5"/>
    <x v="14"/>
    <x v="13"/>
    <x v="0"/>
    <x v="1"/>
    <x v="0"/>
    <x v="0"/>
    <x v="14"/>
    <x v="0"/>
    <x v="0"/>
    <x v="1"/>
    <x v="14"/>
    <x v="0"/>
    <x v="0"/>
    <x v="0"/>
    <x v="2"/>
    <x v="0"/>
    <x v="2"/>
    <x v="1"/>
    <x v="14"/>
    <x v="0"/>
    <x v="0"/>
    <x v="2"/>
    <x v="13"/>
    <x v="14"/>
    <x v="12"/>
    <x v="6"/>
    <x v="0"/>
    <x v="0"/>
    <x v="2"/>
    <x v="14"/>
    <x v="0"/>
    <x v="14"/>
    <x v="14"/>
    <x v="14"/>
    <x v="14"/>
    <x v="12"/>
    <x v="11"/>
    <x v="13"/>
    <x v="0"/>
    <x v="12"/>
    <x v="0"/>
    <x v="0"/>
    <x v="14"/>
    <x v="13"/>
    <x v="13"/>
    <x v="2"/>
    <x v="0"/>
    <x v="7"/>
    <x v="13"/>
    <x v="13"/>
    <x v="13"/>
    <x v="13"/>
    <x v="9"/>
    <x v="9"/>
    <x v="0"/>
    <x v="11"/>
    <x v="10"/>
    <x v="1"/>
    <x v="0"/>
    <x v="0"/>
    <x v="0"/>
    <x v="0"/>
    <x v="0"/>
    <x v="14"/>
    <x v="14"/>
    <x v="0"/>
    <x v="0"/>
    <x v="0"/>
    <x v="14"/>
    <x v="0"/>
  </r>
  <r>
    <x v="0"/>
    <x v="0"/>
    <x v="14"/>
    <x v="13"/>
    <x v="15"/>
    <x v="14"/>
    <x v="2"/>
    <x v="14"/>
    <x v="6"/>
    <x v="15"/>
    <x v="14"/>
    <x v="0"/>
    <x v="0"/>
    <x v="1"/>
    <x v="1"/>
    <x v="15"/>
    <x v="0"/>
    <x v="0"/>
    <x v="2"/>
    <x v="15"/>
    <x v="0"/>
    <x v="0"/>
    <x v="0"/>
    <x v="1"/>
    <x v="0"/>
    <x v="0"/>
    <x v="1"/>
    <x v="15"/>
    <x v="0"/>
    <x v="0"/>
    <x v="2"/>
    <x v="14"/>
    <x v="15"/>
    <x v="14"/>
    <x v="6"/>
    <x v="0"/>
    <x v="2"/>
    <x v="0"/>
    <x v="4"/>
    <x v="0"/>
    <x v="15"/>
    <x v="15"/>
    <x v="15"/>
    <x v="15"/>
    <x v="13"/>
    <x v="1"/>
    <x v="14"/>
    <x v="0"/>
    <x v="5"/>
    <x v="0"/>
    <x v="0"/>
    <x v="15"/>
    <x v="14"/>
    <x v="14"/>
    <x v="10"/>
    <x v="0"/>
    <x v="8"/>
    <x v="14"/>
    <x v="14"/>
    <x v="14"/>
    <x v="14"/>
    <x v="12"/>
    <x v="12"/>
    <x v="0"/>
    <x v="12"/>
    <x v="11"/>
    <x v="10"/>
    <x v="0"/>
    <x v="0"/>
    <x v="0"/>
    <x v="0"/>
    <x v="0"/>
    <x v="15"/>
    <x v="15"/>
    <x v="0"/>
    <x v="1"/>
    <x v="0"/>
    <x v="15"/>
    <x v="0"/>
  </r>
  <r>
    <x v="1"/>
    <x v="0"/>
    <x v="15"/>
    <x v="14"/>
    <x v="16"/>
    <x v="2"/>
    <x v="1"/>
    <x v="15"/>
    <x v="6"/>
    <x v="16"/>
    <x v="12"/>
    <x v="0"/>
    <x v="1"/>
    <x v="0"/>
    <x v="0"/>
    <x v="16"/>
    <x v="0"/>
    <x v="0"/>
    <x v="7"/>
    <x v="16"/>
    <x v="0"/>
    <x v="0"/>
    <x v="0"/>
    <x v="4"/>
    <x v="0"/>
    <x v="1"/>
    <x v="1"/>
    <x v="16"/>
    <x v="0"/>
    <x v="0"/>
    <x v="1"/>
    <x v="2"/>
    <x v="16"/>
    <x v="15"/>
    <x v="2"/>
    <x v="0"/>
    <x v="3"/>
    <x v="0"/>
    <x v="15"/>
    <x v="0"/>
    <x v="16"/>
    <x v="16"/>
    <x v="16"/>
    <x v="16"/>
    <x v="11"/>
    <x v="12"/>
    <x v="15"/>
    <x v="0"/>
    <x v="6"/>
    <x v="0"/>
    <x v="0"/>
    <x v="16"/>
    <x v="15"/>
    <x v="15"/>
    <x v="2"/>
    <x v="0"/>
    <x v="1"/>
    <x v="15"/>
    <x v="15"/>
    <x v="15"/>
    <x v="15"/>
    <x v="13"/>
    <x v="13"/>
    <x v="0"/>
    <x v="13"/>
    <x v="11"/>
    <x v="1"/>
    <x v="0"/>
    <x v="0"/>
    <x v="0"/>
    <x v="0"/>
    <x v="0"/>
    <x v="16"/>
    <x v="16"/>
    <x v="0"/>
    <x v="1"/>
    <x v="0"/>
    <x v="16"/>
    <x v="0"/>
  </r>
  <r>
    <x v="0"/>
    <x v="0"/>
    <x v="16"/>
    <x v="8"/>
    <x v="17"/>
    <x v="15"/>
    <x v="1"/>
    <x v="16"/>
    <x v="0"/>
    <x v="17"/>
    <x v="8"/>
    <x v="0"/>
    <x v="2"/>
    <x v="0"/>
    <x v="0"/>
    <x v="17"/>
    <x v="0"/>
    <x v="0"/>
    <x v="0"/>
    <x v="17"/>
    <x v="0"/>
    <x v="0"/>
    <x v="2"/>
    <x v="0"/>
    <x v="0"/>
    <x v="0"/>
    <x v="0"/>
    <x v="17"/>
    <x v="0"/>
    <x v="0"/>
    <x v="0"/>
    <x v="15"/>
    <x v="17"/>
    <x v="16"/>
    <x v="8"/>
    <x v="2"/>
    <x v="0"/>
    <x v="0"/>
    <x v="16"/>
    <x v="0"/>
    <x v="17"/>
    <x v="17"/>
    <x v="17"/>
    <x v="17"/>
    <x v="7"/>
    <x v="1"/>
    <x v="16"/>
    <x v="0"/>
    <x v="10"/>
    <x v="0"/>
    <x v="0"/>
    <x v="17"/>
    <x v="16"/>
    <x v="16"/>
    <x v="11"/>
    <x v="0"/>
    <x v="1"/>
    <x v="16"/>
    <x v="16"/>
    <x v="16"/>
    <x v="16"/>
    <x v="14"/>
    <x v="14"/>
    <x v="0"/>
    <x v="11"/>
    <x v="8"/>
    <x v="11"/>
    <x v="0"/>
    <x v="0"/>
    <x v="0"/>
    <x v="0"/>
    <x v="0"/>
    <x v="17"/>
    <x v="17"/>
    <x v="1"/>
    <x v="0"/>
    <x v="0"/>
    <x v="17"/>
    <x v="0"/>
  </r>
  <r>
    <x v="0"/>
    <x v="0"/>
    <x v="17"/>
    <x v="15"/>
    <x v="18"/>
    <x v="16"/>
    <x v="1"/>
    <x v="17"/>
    <x v="1"/>
    <x v="18"/>
    <x v="15"/>
    <x v="0"/>
    <x v="0"/>
    <x v="0"/>
    <x v="0"/>
    <x v="18"/>
    <x v="0"/>
    <x v="0"/>
    <x v="1"/>
    <x v="18"/>
    <x v="0"/>
    <x v="0"/>
    <x v="3"/>
    <x v="5"/>
    <x v="0"/>
    <x v="0"/>
    <x v="0"/>
    <x v="18"/>
    <x v="0"/>
    <x v="0"/>
    <x v="0"/>
    <x v="16"/>
    <x v="18"/>
    <x v="17"/>
    <x v="9"/>
    <x v="2"/>
    <x v="0"/>
    <x v="0"/>
    <x v="17"/>
    <x v="0"/>
    <x v="18"/>
    <x v="18"/>
    <x v="18"/>
    <x v="18"/>
    <x v="14"/>
    <x v="13"/>
    <x v="17"/>
    <x v="0"/>
    <x v="13"/>
    <x v="0"/>
    <x v="0"/>
    <x v="18"/>
    <x v="17"/>
    <x v="17"/>
    <x v="12"/>
    <x v="0"/>
    <x v="9"/>
    <x v="9"/>
    <x v="9"/>
    <x v="9"/>
    <x v="9"/>
    <x v="9"/>
    <x v="9"/>
    <x v="0"/>
    <x v="14"/>
    <x v="12"/>
    <x v="1"/>
    <x v="0"/>
    <x v="0"/>
    <x v="0"/>
    <x v="0"/>
    <x v="0"/>
    <x v="18"/>
    <x v="18"/>
    <x v="0"/>
    <x v="0"/>
    <x v="0"/>
    <x v="18"/>
    <x v="0"/>
  </r>
  <r>
    <x v="0"/>
    <x v="0"/>
    <x v="18"/>
    <x v="16"/>
    <x v="19"/>
    <x v="17"/>
    <x v="0"/>
    <x v="18"/>
    <x v="0"/>
    <x v="19"/>
    <x v="16"/>
    <x v="0"/>
    <x v="2"/>
    <x v="0"/>
    <x v="0"/>
    <x v="19"/>
    <x v="0"/>
    <x v="0"/>
    <x v="8"/>
    <x v="19"/>
    <x v="0"/>
    <x v="0"/>
    <x v="2"/>
    <x v="0"/>
    <x v="0"/>
    <x v="2"/>
    <x v="0"/>
    <x v="19"/>
    <x v="0"/>
    <x v="0"/>
    <x v="2"/>
    <x v="17"/>
    <x v="19"/>
    <x v="18"/>
    <x v="6"/>
    <x v="2"/>
    <x v="0"/>
    <x v="0"/>
    <x v="18"/>
    <x v="0"/>
    <x v="19"/>
    <x v="19"/>
    <x v="19"/>
    <x v="19"/>
    <x v="15"/>
    <x v="14"/>
    <x v="18"/>
    <x v="0"/>
    <x v="14"/>
    <x v="0"/>
    <x v="0"/>
    <x v="19"/>
    <x v="18"/>
    <x v="18"/>
    <x v="13"/>
    <x v="0"/>
    <x v="1"/>
    <x v="17"/>
    <x v="17"/>
    <x v="17"/>
    <x v="17"/>
    <x v="15"/>
    <x v="15"/>
    <x v="0"/>
    <x v="15"/>
    <x v="13"/>
    <x v="12"/>
    <x v="0"/>
    <x v="0"/>
    <x v="0"/>
    <x v="0"/>
    <x v="0"/>
    <x v="19"/>
    <x v="19"/>
    <x v="1"/>
    <x v="0"/>
    <x v="0"/>
    <x v="19"/>
    <x v="0"/>
  </r>
  <r>
    <x v="0"/>
    <x v="0"/>
    <x v="19"/>
    <x v="6"/>
    <x v="20"/>
    <x v="18"/>
    <x v="1"/>
    <x v="19"/>
    <x v="1"/>
    <x v="20"/>
    <x v="17"/>
    <x v="0"/>
    <x v="1"/>
    <x v="0"/>
    <x v="0"/>
    <x v="20"/>
    <x v="0"/>
    <x v="0"/>
    <x v="0"/>
    <x v="20"/>
    <x v="0"/>
    <x v="0"/>
    <x v="2"/>
    <x v="0"/>
    <x v="0"/>
    <x v="2"/>
    <x v="0"/>
    <x v="20"/>
    <x v="0"/>
    <x v="0"/>
    <x v="2"/>
    <x v="18"/>
    <x v="20"/>
    <x v="19"/>
    <x v="6"/>
    <x v="0"/>
    <x v="0"/>
    <x v="0"/>
    <x v="19"/>
    <x v="0"/>
    <x v="20"/>
    <x v="20"/>
    <x v="20"/>
    <x v="20"/>
    <x v="16"/>
    <x v="15"/>
    <x v="19"/>
    <x v="0"/>
    <x v="15"/>
    <x v="0"/>
    <x v="0"/>
    <x v="20"/>
    <x v="19"/>
    <x v="19"/>
    <x v="14"/>
    <x v="0"/>
    <x v="10"/>
    <x v="18"/>
    <x v="18"/>
    <x v="18"/>
    <x v="18"/>
    <x v="16"/>
    <x v="16"/>
    <x v="0"/>
    <x v="16"/>
    <x v="14"/>
    <x v="1"/>
    <x v="0"/>
    <x v="0"/>
    <x v="0"/>
    <x v="0"/>
    <x v="0"/>
    <x v="20"/>
    <x v="20"/>
    <x v="0"/>
    <x v="0"/>
    <x v="0"/>
    <x v="20"/>
    <x v="0"/>
  </r>
  <r>
    <x v="0"/>
    <x v="0"/>
    <x v="17"/>
    <x v="15"/>
    <x v="21"/>
    <x v="8"/>
    <x v="1"/>
    <x v="20"/>
    <x v="1"/>
    <x v="21"/>
    <x v="15"/>
    <x v="0"/>
    <x v="1"/>
    <x v="0"/>
    <x v="0"/>
    <x v="21"/>
    <x v="0"/>
    <x v="0"/>
    <x v="2"/>
    <x v="21"/>
    <x v="1"/>
    <x v="0"/>
    <x v="7"/>
    <x v="6"/>
    <x v="0"/>
    <x v="0"/>
    <x v="0"/>
    <x v="21"/>
    <x v="0"/>
    <x v="0"/>
    <x v="0"/>
    <x v="19"/>
    <x v="21"/>
    <x v="17"/>
    <x v="9"/>
    <x v="0"/>
    <x v="0"/>
    <x v="0"/>
    <x v="20"/>
    <x v="0"/>
    <x v="21"/>
    <x v="21"/>
    <x v="21"/>
    <x v="21"/>
    <x v="17"/>
    <x v="16"/>
    <x v="20"/>
    <x v="0"/>
    <x v="16"/>
    <x v="0"/>
    <x v="0"/>
    <x v="21"/>
    <x v="20"/>
    <x v="20"/>
    <x v="15"/>
    <x v="0"/>
    <x v="1"/>
    <x v="19"/>
    <x v="19"/>
    <x v="19"/>
    <x v="19"/>
    <x v="17"/>
    <x v="17"/>
    <x v="0"/>
    <x v="17"/>
    <x v="15"/>
    <x v="1"/>
    <x v="0"/>
    <x v="0"/>
    <x v="0"/>
    <x v="0"/>
    <x v="0"/>
    <x v="21"/>
    <x v="21"/>
    <x v="0"/>
    <x v="0"/>
    <x v="0"/>
    <x v="21"/>
    <x v="0"/>
  </r>
  <r>
    <x v="1"/>
    <x v="0"/>
    <x v="20"/>
    <x v="17"/>
    <x v="22"/>
    <x v="19"/>
    <x v="3"/>
    <x v="21"/>
    <x v="7"/>
    <x v="22"/>
    <x v="18"/>
    <x v="0"/>
    <x v="6"/>
    <x v="0"/>
    <x v="0"/>
    <x v="22"/>
    <x v="0"/>
    <x v="0"/>
    <x v="2"/>
    <x v="22"/>
    <x v="0"/>
    <x v="0"/>
    <x v="8"/>
    <x v="4"/>
    <x v="0"/>
    <x v="3"/>
    <x v="1"/>
    <x v="22"/>
    <x v="0"/>
    <x v="0"/>
    <x v="1"/>
    <x v="20"/>
    <x v="22"/>
    <x v="20"/>
    <x v="2"/>
    <x v="0"/>
    <x v="0"/>
    <x v="0"/>
    <x v="21"/>
    <x v="0"/>
    <x v="22"/>
    <x v="22"/>
    <x v="22"/>
    <x v="22"/>
    <x v="8"/>
    <x v="1"/>
    <x v="9"/>
    <x v="0"/>
    <x v="9"/>
    <x v="0"/>
    <x v="0"/>
    <x v="22"/>
    <x v="9"/>
    <x v="9"/>
    <x v="2"/>
    <x v="0"/>
    <x v="1"/>
    <x v="9"/>
    <x v="9"/>
    <x v="9"/>
    <x v="9"/>
    <x v="9"/>
    <x v="9"/>
    <x v="0"/>
    <x v="7"/>
    <x v="7"/>
    <x v="1"/>
    <x v="0"/>
    <x v="0"/>
    <x v="0"/>
    <x v="0"/>
    <x v="0"/>
    <x v="22"/>
    <x v="22"/>
    <x v="0"/>
    <x v="1"/>
    <x v="0"/>
    <x v="22"/>
    <x v="0"/>
  </r>
  <r>
    <x v="0"/>
    <x v="0"/>
    <x v="21"/>
    <x v="12"/>
    <x v="23"/>
    <x v="20"/>
    <x v="1"/>
    <x v="22"/>
    <x v="1"/>
    <x v="23"/>
    <x v="19"/>
    <x v="0"/>
    <x v="1"/>
    <x v="1"/>
    <x v="0"/>
    <x v="23"/>
    <x v="0"/>
    <x v="0"/>
    <x v="0"/>
    <x v="23"/>
    <x v="0"/>
    <x v="0"/>
    <x v="0"/>
    <x v="2"/>
    <x v="0"/>
    <x v="2"/>
    <x v="1"/>
    <x v="23"/>
    <x v="0"/>
    <x v="0"/>
    <x v="2"/>
    <x v="21"/>
    <x v="23"/>
    <x v="21"/>
    <x v="6"/>
    <x v="0"/>
    <x v="0"/>
    <x v="0"/>
    <x v="22"/>
    <x v="0"/>
    <x v="23"/>
    <x v="23"/>
    <x v="23"/>
    <x v="23"/>
    <x v="18"/>
    <x v="17"/>
    <x v="21"/>
    <x v="0"/>
    <x v="17"/>
    <x v="0"/>
    <x v="0"/>
    <x v="23"/>
    <x v="21"/>
    <x v="21"/>
    <x v="16"/>
    <x v="0"/>
    <x v="11"/>
    <x v="20"/>
    <x v="20"/>
    <x v="20"/>
    <x v="20"/>
    <x v="18"/>
    <x v="18"/>
    <x v="0"/>
    <x v="18"/>
    <x v="16"/>
    <x v="13"/>
    <x v="0"/>
    <x v="0"/>
    <x v="0"/>
    <x v="0"/>
    <x v="0"/>
    <x v="23"/>
    <x v="23"/>
    <x v="0"/>
    <x v="0"/>
    <x v="0"/>
    <x v="23"/>
    <x v="0"/>
  </r>
  <r>
    <x v="0"/>
    <x v="0"/>
    <x v="22"/>
    <x v="6"/>
    <x v="24"/>
    <x v="21"/>
    <x v="1"/>
    <x v="23"/>
    <x v="1"/>
    <x v="24"/>
    <x v="17"/>
    <x v="0"/>
    <x v="1"/>
    <x v="1"/>
    <x v="0"/>
    <x v="24"/>
    <x v="0"/>
    <x v="0"/>
    <x v="0"/>
    <x v="24"/>
    <x v="0"/>
    <x v="0"/>
    <x v="3"/>
    <x v="5"/>
    <x v="0"/>
    <x v="2"/>
    <x v="0"/>
    <x v="24"/>
    <x v="0"/>
    <x v="0"/>
    <x v="2"/>
    <x v="22"/>
    <x v="24"/>
    <x v="22"/>
    <x v="6"/>
    <x v="6"/>
    <x v="0"/>
    <x v="0"/>
    <x v="22"/>
    <x v="0"/>
    <x v="24"/>
    <x v="24"/>
    <x v="24"/>
    <x v="24"/>
    <x v="19"/>
    <x v="18"/>
    <x v="22"/>
    <x v="0"/>
    <x v="18"/>
    <x v="0"/>
    <x v="0"/>
    <x v="24"/>
    <x v="22"/>
    <x v="22"/>
    <x v="17"/>
    <x v="0"/>
    <x v="12"/>
    <x v="21"/>
    <x v="21"/>
    <x v="9"/>
    <x v="9"/>
    <x v="19"/>
    <x v="19"/>
    <x v="0"/>
    <x v="6"/>
    <x v="17"/>
    <x v="1"/>
    <x v="0"/>
    <x v="0"/>
    <x v="0"/>
    <x v="0"/>
    <x v="0"/>
    <x v="24"/>
    <x v="24"/>
    <x v="0"/>
    <x v="0"/>
    <x v="0"/>
    <x v="24"/>
    <x v="0"/>
  </r>
  <r>
    <x v="3"/>
    <x v="0"/>
    <x v="23"/>
    <x v="18"/>
    <x v="25"/>
    <x v="22"/>
    <x v="1"/>
    <x v="24"/>
    <x v="6"/>
    <x v="25"/>
    <x v="20"/>
    <x v="0"/>
    <x v="5"/>
    <x v="0"/>
    <x v="0"/>
    <x v="25"/>
    <x v="0"/>
    <x v="0"/>
    <x v="9"/>
    <x v="25"/>
    <x v="0"/>
    <x v="0"/>
    <x v="3"/>
    <x v="1"/>
    <x v="0"/>
    <x v="1"/>
    <x v="1"/>
    <x v="25"/>
    <x v="0"/>
    <x v="0"/>
    <x v="1"/>
    <x v="23"/>
    <x v="25"/>
    <x v="23"/>
    <x v="10"/>
    <x v="0"/>
    <x v="0"/>
    <x v="0"/>
    <x v="23"/>
    <x v="0"/>
    <x v="25"/>
    <x v="25"/>
    <x v="25"/>
    <x v="25"/>
    <x v="20"/>
    <x v="8"/>
    <x v="23"/>
    <x v="0"/>
    <x v="19"/>
    <x v="0"/>
    <x v="0"/>
    <x v="25"/>
    <x v="23"/>
    <x v="23"/>
    <x v="18"/>
    <x v="0"/>
    <x v="1"/>
    <x v="22"/>
    <x v="22"/>
    <x v="21"/>
    <x v="21"/>
    <x v="20"/>
    <x v="20"/>
    <x v="0"/>
    <x v="8"/>
    <x v="18"/>
    <x v="1"/>
    <x v="0"/>
    <x v="0"/>
    <x v="0"/>
    <x v="0"/>
    <x v="0"/>
    <x v="25"/>
    <x v="25"/>
    <x v="2"/>
    <x v="1"/>
    <x v="0"/>
    <x v="25"/>
    <x v="0"/>
  </r>
  <r>
    <x v="0"/>
    <x v="0"/>
    <x v="24"/>
    <x v="19"/>
    <x v="26"/>
    <x v="23"/>
    <x v="1"/>
    <x v="25"/>
    <x v="8"/>
    <x v="26"/>
    <x v="21"/>
    <x v="0"/>
    <x v="7"/>
    <x v="0"/>
    <x v="1"/>
    <x v="26"/>
    <x v="0"/>
    <x v="0"/>
    <x v="10"/>
    <x v="26"/>
    <x v="0"/>
    <x v="0"/>
    <x v="8"/>
    <x v="7"/>
    <x v="0"/>
    <x v="0"/>
    <x v="1"/>
    <x v="26"/>
    <x v="0"/>
    <x v="0"/>
    <x v="0"/>
    <x v="24"/>
    <x v="26"/>
    <x v="24"/>
    <x v="11"/>
    <x v="7"/>
    <x v="4"/>
    <x v="0"/>
    <x v="24"/>
    <x v="0"/>
    <x v="26"/>
    <x v="26"/>
    <x v="26"/>
    <x v="26"/>
    <x v="21"/>
    <x v="19"/>
    <x v="24"/>
    <x v="0"/>
    <x v="20"/>
    <x v="0"/>
    <x v="0"/>
    <x v="26"/>
    <x v="24"/>
    <x v="24"/>
    <x v="19"/>
    <x v="0"/>
    <x v="1"/>
    <x v="23"/>
    <x v="23"/>
    <x v="22"/>
    <x v="22"/>
    <x v="21"/>
    <x v="21"/>
    <x v="0"/>
    <x v="18"/>
    <x v="19"/>
    <x v="14"/>
    <x v="0"/>
    <x v="0"/>
    <x v="0"/>
    <x v="0"/>
    <x v="0"/>
    <x v="26"/>
    <x v="26"/>
    <x v="0"/>
    <x v="1"/>
    <x v="0"/>
    <x v="26"/>
    <x v="0"/>
  </r>
  <r>
    <x v="3"/>
    <x v="0"/>
    <x v="25"/>
    <x v="20"/>
    <x v="27"/>
    <x v="24"/>
    <x v="1"/>
    <x v="2"/>
    <x v="0"/>
    <x v="27"/>
    <x v="12"/>
    <x v="0"/>
    <x v="2"/>
    <x v="1"/>
    <x v="0"/>
    <x v="27"/>
    <x v="0"/>
    <x v="0"/>
    <x v="1"/>
    <x v="27"/>
    <x v="0"/>
    <x v="0"/>
    <x v="3"/>
    <x v="4"/>
    <x v="0"/>
    <x v="1"/>
    <x v="1"/>
    <x v="27"/>
    <x v="0"/>
    <x v="0"/>
    <x v="1"/>
    <x v="25"/>
    <x v="27"/>
    <x v="25"/>
    <x v="12"/>
    <x v="0"/>
    <x v="0"/>
    <x v="0"/>
    <x v="25"/>
    <x v="0"/>
    <x v="27"/>
    <x v="27"/>
    <x v="27"/>
    <x v="27"/>
    <x v="11"/>
    <x v="12"/>
    <x v="6"/>
    <x v="0"/>
    <x v="21"/>
    <x v="0"/>
    <x v="0"/>
    <x v="27"/>
    <x v="25"/>
    <x v="25"/>
    <x v="2"/>
    <x v="0"/>
    <x v="1"/>
    <x v="24"/>
    <x v="24"/>
    <x v="22"/>
    <x v="23"/>
    <x v="22"/>
    <x v="22"/>
    <x v="0"/>
    <x v="4"/>
    <x v="18"/>
    <x v="1"/>
    <x v="0"/>
    <x v="0"/>
    <x v="0"/>
    <x v="0"/>
    <x v="0"/>
    <x v="27"/>
    <x v="27"/>
    <x v="1"/>
    <x v="0"/>
    <x v="0"/>
    <x v="27"/>
    <x v="0"/>
  </r>
  <r>
    <x v="1"/>
    <x v="0"/>
    <x v="26"/>
    <x v="21"/>
    <x v="28"/>
    <x v="25"/>
    <x v="2"/>
    <x v="26"/>
    <x v="3"/>
    <x v="28"/>
    <x v="9"/>
    <x v="0"/>
    <x v="8"/>
    <x v="0"/>
    <x v="0"/>
    <x v="28"/>
    <x v="0"/>
    <x v="0"/>
    <x v="11"/>
    <x v="28"/>
    <x v="0"/>
    <x v="0"/>
    <x v="5"/>
    <x v="3"/>
    <x v="0"/>
    <x v="1"/>
    <x v="1"/>
    <x v="28"/>
    <x v="0"/>
    <x v="0"/>
    <x v="1"/>
    <x v="26"/>
    <x v="28"/>
    <x v="26"/>
    <x v="2"/>
    <x v="8"/>
    <x v="0"/>
    <x v="0"/>
    <x v="26"/>
    <x v="0"/>
    <x v="28"/>
    <x v="28"/>
    <x v="28"/>
    <x v="28"/>
    <x v="22"/>
    <x v="20"/>
    <x v="25"/>
    <x v="0"/>
    <x v="22"/>
    <x v="0"/>
    <x v="0"/>
    <x v="28"/>
    <x v="26"/>
    <x v="26"/>
    <x v="20"/>
    <x v="0"/>
    <x v="13"/>
    <x v="25"/>
    <x v="25"/>
    <x v="23"/>
    <x v="24"/>
    <x v="9"/>
    <x v="9"/>
    <x v="0"/>
    <x v="4"/>
    <x v="1"/>
    <x v="15"/>
    <x v="0"/>
    <x v="0"/>
    <x v="0"/>
    <x v="0"/>
    <x v="0"/>
    <x v="28"/>
    <x v="28"/>
    <x v="2"/>
    <x v="1"/>
    <x v="0"/>
    <x v="28"/>
    <x v="0"/>
  </r>
  <r>
    <x v="0"/>
    <x v="0"/>
    <x v="4"/>
    <x v="4"/>
    <x v="29"/>
    <x v="4"/>
    <x v="1"/>
    <x v="4"/>
    <x v="0"/>
    <x v="29"/>
    <x v="4"/>
    <x v="0"/>
    <x v="0"/>
    <x v="1"/>
    <x v="0"/>
    <x v="29"/>
    <x v="0"/>
    <x v="0"/>
    <x v="0"/>
    <x v="29"/>
    <x v="0"/>
    <x v="0"/>
    <x v="2"/>
    <x v="2"/>
    <x v="0"/>
    <x v="0"/>
    <x v="0"/>
    <x v="29"/>
    <x v="0"/>
    <x v="0"/>
    <x v="0"/>
    <x v="4"/>
    <x v="4"/>
    <x v="4"/>
    <x v="4"/>
    <x v="0"/>
    <x v="0"/>
    <x v="0"/>
    <x v="27"/>
    <x v="0"/>
    <x v="29"/>
    <x v="29"/>
    <x v="29"/>
    <x v="29"/>
    <x v="4"/>
    <x v="21"/>
    <x v="26"/>
    <x v="0"/>
    <x v="0"/>
    <x v="0"/>
    <x v="0"/>
    <x v="29"/>
    <x v="27"/>
    <x v="27"/>
    <x v="21"/>
    <x v="0"/>
    <x v="1"/>
    <x v="26"/>
    <x v="26"/>
    <x v="24"/>
    <x v="25"/>
    <x v="23"/>
    <x v="23"/>
    <x v="0"/>
    <x v="6"/>
    <x v="20"/>
    <x v="16"/>
    <x v="0"/>
    <x v="0"/>
    <x v="0"/>
    <x v="0"/>
    <x v="0"/>
    <x v="4"/>
    <x v="29"/>
    <x v="0"/>
    <x v="0"/>
    <x v="0"/>
    <x v="29"/>
    <x v="0"/>
  </r>
  <r>
    <x v="0"/>
    <x v="0"/>
    <x v="27"/>
    <x v="22"/>
    <x v="30"/>
    <x v="26"/>
    <x v="1"/>
    <x v="1"/>
    <x v="0"/>
    <x v="30"/>
    <x v="22"/>
    <x v="0"/>
    <x v="7"/>
    <x v="0"/>
    <x v="0"/>
    <x v="30"/>
    <x v="0"/>
    <x v="0"/>
    <x v="0"/>
    <x v="30"/>
    <x v="0"/>
    <x v="0"/>
    <x v="3"/>
    <x v="2"/>
    <x v="0"/>
    <x v="2"/>
    <x v="1"/>
    <x v="30"/>
    <x v="0"/>
    <x v="0"/>
    <x v="2"/>
    <x v="27"/>
    <x v="29"/>
    <x v="27"/>
    <x v="6"/>
    <x v="0"/>
    <x v="5"/>
    <x v="0"/>
    <x v="28"/>
    <x v="0"/>
    <x v="30"/>
    <x v="30"/>
    <x v="30"/>
    <x v="30"/>
    <x v="23"/>
    <x v="22"/>
    <x v="27"/>
    <x v="0"/>
    <x v="23"/>
    <x v="0"/>
    <x v="0"/>
    <x v="30"/>
    <x v="28"/>
    <x v="28"/>
    <x v="22"/>
    <x v="0"/>
    <x v="1"/>
    <x v="27"/>
    <x v="27"/>
    <x v="25"/>
    <x v="26"/>
    <x v="24"/>
    <x v="24"/>
    <x v="0"/>
    <x v="19"/>
    <x v="5"/>
    <x v="17"/>
    <x v="0"/>
    <x v="0"/>
    <x v="0"/>
    <x v="0"/>
    <x v="0"/>
    <x v="29"/>
    <x v="30"/>
    <x v="0"/>
    <x v="0"/>
    <x v="0"/>
    <x v="30"/>
    <x v="0"/>
  </r>
  <r>
    <x v="0"/>
    <x v="0"/>
    <x v="7"/>
    <x v="7"/>
    <x v="31"/>
    <x v="7"/>
    <x v="2"/>
    <x v="7"/>
    <x v="0"/>
    <x v="7"/>
    <x v="23"/>
    <x v="0"/>
    <x v="0"/>
    <x v="1"/>
    <x v="1"/>
    <x v="7"/>
    <x v="0"/>
    <x v="0"/>
    <x v="2"/>
    <x v="7"/>
    <x v="0"/>
    <x v="0"/>
    <x v="2"/>
    <x v="0"/>
    <x v="0"/>
    <x v="1"/>
    <x v="0"/>
    <x v="7"/>
    <x v="0"/>
    <x v="0"/>
    <x v="0"/>
    <x v="7"/>
    <x v="7"/>
    <x v="7"/>
    <x v="7"/>
    <x v="0"/>
    <x v="0"/>
    <x v="3"/>
    <x v="4"/>
    <x v="0"/>
    <x v="31"/>
    <x v="31"/>
    <x v="31"/>
    <x v="31"/>
    <x v="24"/>
    <x v="23"/>
    <x v="28"/>
    <x v="0"/>
    <x v="24"/>
    <x v="0"/>
    <x v="0"/>
    <x v="31"/>
    <x v="29"/>
    <x v="29"/>
    <x v="23"/>
    <x v="0"/>
    <x v="1"/>
    <x v="28"/>
    <x v="28"/>
    <x v="17"/>
    <x v="27"/>
    <x v="25"/>
    <x v="25"/>
    <x v="0"/>
    <x v="20"/>
    <x v="4"/>
    <x v="18"/>
    <x v="0"/>
    <x v="0"/>
    <x v="0"/>
    <x v="0"/>
    <x v="0"/>
    <x v="30"/>
    <x v="31"/>
    <x v="0"/>
    <x v="0"/>
    <x v="0"/>
    <x v="7"/>
    <x v="0"/>
  </r>
  <r>
    <x v="0"/>
    <x v="0"/>
    <x v="28"/>
    <x v="23"/>
    <x v="32"/>
    <x v="27"/>
    <x v="1"/>
    <x v="27"/>
    <x v="9"/>
    <x v="31"/>
    <x v="24"/>
    <x v="0"/>
    <x v="6"/>
    <x v="0"/>
    <x v="0"/>
    <x v="31"/>
    <x v="0"/>
    <x v="0"/>
    <x v="6"/>
    <x v="31"/>
    <x v="0"/>
    <x v="0"/>
    <x v="6"/>
    <x v="0"/>
    <x v="0"/>
    <x v="0"/>
    <x v="0"/>
    <x v="31"/>
    <x v="0"/>
    <x v="0"/>
    <x v="0"/>
    <x v="28"/>
    <x v="30"/>
    <x v="28"/>
    <x v="13"/>
    <x v="9"/>
    <x v="0"/>
    <x v="4"/>
    <x v="29"/>
    <x v="0"/>
    <x v="32"/>
    <x v="32"/>
    <x v="32"/>
    <x v="32"/>
    <x v="25"/>
    <x v="1"/>
    <x v="29"/>
    <x v="0"/>
    <x v="25"/>
    <x v="0"/>
    <x v="0"/>
    <x v="32"/>
    <x v="30"/>
    <x v="30"/>
    <x v="24"/>
    <x v="0"/>
    <x v="1"/>
    <x v="29"/>
    <x v="29"/>
    <x v="26"/>
    <x v="28"/>
    <x v="26"/>
    <x v="26"/>
    <x v="0"/>
    <x v="19"/>
    <x v="8"/>
    <x v="1"/>
    <x v="0"/>
    <x v="0"/>
    <x v="0"/>
    <x v="0"/>
    <x v="0"/>
    <x v="31"/>
    <x v="32"/>
    <x v="0"/>
    <x v="0"/>
    <x v="0"/>
    <x v="31"/>
    <x v="0"/>
  </r>
  <r>
    <x v="0"/>
    <x v="0"/>
    <x v="12"/>
    <x v="12"/>
    <x v="14"/>
    <x v="13"/>
    <x v="1"/>
    <x v="13"/>
    <x v="5"/>
    <x v="32"/>
    <x v="13"/>
    <x v="0"/>
    <x v="2"/>
    <x v="0"/>
    <x v="0"/>
    <x v="32"/>
    <x v="0"/>
    <x v="0"/>
    <x v="1"/>
    <x v="32"/>
    <x v="0"/>
    <x v="0"/>
    <x v="0"/>
    <x v="2"/>
    <x v="0"/>
    <x v="2"/>
    <x v="1"/>
    <x v="32"/>
    <x v="0"/>
    <x v="0"/>
    <x v="2"/>
    <x v="13"/>
    <x v="14"/>
    <x v="12"/>
    <x v="6"/>
    <x v="0"/>
    <x v="0"/>
    <x v="0"/>
    <x v="30"/>
    <x v="0"/>
    <x v="33"/>
    <x v="33"/>
    <x v="33"/>
    <x v="33"/>
    <x v="12"/>
    <x v="24"/>
    <x v="30"/>
    <x v="0"/>
    <x v="26"/>
    <x v="0"/>
    <x v="0"/>
    <x v="33"/>
    <x v="31"/>
    <x v="31"/>
    <x v="2"/>
    <x v="0"/>
    <x v="14"/>
    <x v="30"/>
    <x v="30"/>
    <x v="27"/>
    <x v="29"/>
    <x v="9"/>
    <x v="9"/>
    <x v="0"/>
    <x v="21"/>
    <x v="21"/>
    <x v="1"/>
    <x v="0"/>
    <x v="0"/>
    <x v="0"/>
    <x v="0"/>
    <x v="0"/>
    <x v="14"/>
    <x v="33"/>
    <x v="1"/>
    <x v="0"/>
    <x v="0"/>
    <x v="32"/>
    <x v="0"/>
  </r>
  <r>
    <x v="1"/>
    <x v="0"/>
    <x v="29"/>
    <x v="21"/>
    <x v="33"/>
    <x v="28"/>
    <x v="0"/>
    <x v="28"/>
    <x v="4"/>
    <x v="33"/>
    <x v="10"/>
    <x v="0"/>
    <x v="7"/>
    <x v="0"/>
    <x v="0"/>
    <x v="33"/>
    <x v="0"/>
    <x v="0"/>
    <x v="12"/>
    <x v="33"/>
    <x v="0"/>
    <x v="0"/>
    <x v="4"/>
    <x v="0"/>
    <x v="0"/>
    <x v="2"/>
    <x v="0"/>
    <x v="33"/>
    <x v="0"/>
    <x v="0"/>
    <x v="1"/>
    <x v="29"/>
    <x v="31"/>
    <x v="29"/>
    <x v="2"/>
    <x v="0"/>
    <x v="0"/>
    <x v="0"/>
    <x v="31"/>
    <x v="0"/>
    <x v="34"/>
    <x v="34"/>
    <x v="34"/>
    <x v="34"/>
    <x v="8"/>
    <x v="1"/>
    <x v="9"/>
    <x v="0"/>
    <x v="9"/>
    <x v="0"/>
    <x v="0"/>
    <x v="34"/>
    <x v="9"/>
    <x v="9"/>
    <x v="2"/>
    <x v="0"/>
    <x v="1"/>
    <x v="9"/>
    <x v="9"/>
    <x v="9"/>
    <x v="9"/>
    <x v="9"/>
    <x v="9"/>
    <x v="0"/>
    <x v="7"/>
    <x v="7"/>
    <x v="19"/>
    <x v="0"/>
    <x v="0"/>
    <x v="0"/>
    <x v="0"/>
    <x v="0"/>
    <x v="32"/>
    <x v="34"/>
    <x v="0"/>
    <x v="0"/>
    <x v="1"/>
    <x v="33"/>
    <x v="2"/>
  </r>
  <r>
    <x v="1"/>
    <x v="0"/>
    <x v="30"/>
    <x v="24"/>
    <x v="34"/>
    <x v="29"/>
    <x v="0"/>
    <x v="29"/>
    <x v="3"/>
    <x v="34"/>
    <x v="25"/>
    <x v="0"/>
    <x v="6"/>
    <x v="0"/>
    <x v="0"/>
    <x v="34"/>
    <x v="0"/>
    <x v="0"/>
    <x v="13"/>
    <x v="28"/>
    <x v="0"/>
    <x v="0"/>
    <x v="5"/>
    <x v="3"/>
    <x v="0"/>
    <x v="1"/>
    <x v="1"/>
    <x v="34"/>
    <x v="0"/>
    <x v="0"/>
    <x v="1"/>
    <x v="30"/>
    <x v="32"/>
    <x v="30"/>
    <x v="2"/>
    <x v="0"/>
    <x v="6"/>
    <x v="5"/>
    <x v="32"/>
    <x v="0"/>
    <x v="35"/>
    <x v="35"/>
    <x v="35"/>
    <x v="35"/>
    <x v="26"/>
    <x v="1"/>
    <x v="31"/>
    <x v="0"/>
    <x v="27"/>
    <x v="0"/>
    <x v="0"/>
    <x v="35"/>
    <x v="32"/>
    <x v="32"/>
    <x v="25"/>
    <x v="0"/>
    <x v="13"/>
    <x v="31"/>
    <x v="31"/>
    <x v="23"/>
    <x v="30"/>
    <x v="9"/>
    <x v="9"/>
    <x v="0"/>
    <x v="10"/>
    <x v="19"/>
    <x v="20"/>
    <x v="0"/>
    <x v="0"/>
    <x v="0"/>
    <x v="0"/>
    <x v="0"/>
    <x v="33"/>
    <x v="35"/>
    <x v="0"/>
    <x v="1"/>
    <x v="0"/>
    <x v="34"/>
    <x v="0"/>
  </r>
  <r>
    <x v="3"/>
    <x v="0"/>
    <x v="11"/>
    <x v="11"/>
    <x v="11"/>
    <x v="11"/>
    <x v="0"/>
    <x v="30"/>
    <x v="4"/>
    <x v="35"/>
    <x v="10"/>
    <x v="0"/>
    <x v="2"/>
    <x v="0"/>
    <x v="0"/>
    <x v="35"/>
    <x v="0"/>
    <x v="0"/>
    <x v="12"/>
    <x v="34"/>
    <x v="0"/>
    <x v="0"/>
    <x v="4"/>
    <x v="0"/>
    <x v="0"/>
    <x v="2"/>
    <x v="0"/>
    <x v="35"/>
    <x v="0"/>
    <x v="0"/>
    <x v="1"/>
    <x v="11"/>
    <x v="11"/>
    <x v="11"/>
    <x v="2"/>
    <x v="0"/>
    <x v="0"/>
    <x v="0"/>
    <x v="11"/>
    <x v="0"/>
    <x v="36"/>
    <x v="36"/>
    <x v="36"/>
    <x v="36"/>
    <x v="8"/>
    <x v="1"/>
    <x v="9"/>
    <x v="0"/>
    <x v="9"/>
    <x v="0"/>
    <x v="0"/>
    <x v="36"/>
    <x v="9"/>
    <x v="9"/>
    <x v="2"/>
    <x v="0"/>
    <x v="1"/>
    <x v="9"/>
    <x v="9"/>
    <x v="9"/>
    <x v="9"/>
    <x v="9"/>
    <x v="9"/>
    <x v="0"/>
    <x v="7"/>
    <x v="7"/>
    <x v="21"/>
    <x v="0"/>
    <x v="0"/>
    <x v="0"/>
    <x v="0"/>
    <x v="0"/>
    <x v="11"/>
    <x v="36"/>
    <x v="1"/>
    <x v="0"/>
    <x v="0"/>
    <x v="35"/>
    <x v="0"/>
  </r>
  <r>
    <x v="4"/>
    <x v="0"/>
    <x v="31"/>
    <x v="17"/>
    <x v="35"/>
    <x v="30"/>
    <x v="1"/>
    <x v="31"/>
    <x v="3"/>
    <x v="36"/>
    <x v="26"/>
    <x v="0"/>
    <x v="5"/>
    <x v="0"/>
    <x v="0"/>
    <x v="34"/>
    <x v="0"/>
    <x v="0"/>
    <x v="13"/>
    <x v="28"/>
    <x v="0"/>
    <x v="0"/>
    <x v="5"/>
    <x v="3"/>
    <x v="0"/>
    <x v="1"/>
    <x v="1"/>
    <x v="36"/>
    <x v="0"/>
    <x v="0"/>
    <x v="1"/>
    <x v="31"/>
    <x v="33"/>
    <x v="31"/>
    <x v="2"/>
    <x v="10"/>
    <x v="7"/>
    <x v="0"/>
    <x v="33"/>
    <x v="0"/>
    <x v="37"/>
    <x v="37"/>
    <x v="37"/>
    <x v="37"/>
    <x v="27"/>
    <x v="25"/>
    <x v="32"/>
    <x v="1"/>
    <x v="28"/>
    <x v="0"/>
    <x v="0"/>
    <x v="37"/>
    <x v="33"/>
    <x v="33"/>
    <x v="2"/>
    <x v="0"/>
    <x v="13"/>
    <x v="32"/>
    <x v="32"/>
    <x v="28"/>
    <x v="31"/>
    <x v="27"/>
    <x v="27"/>
    <x v="1"/>
    <x v="11"/>
    <x v="22"/>
    <x v="22"/>
    <x v="0"/>
    <x v="2"/>
    <x v="1"/>
    <x v="2"/>
    <x v="2"/>
    <x v="34"/>
    <x v="37"/>
    <x v="2"/>
    <x v="1"/>
    <x v="1"/>
    <x v="36"/>
    <x v="1"/>
  </r>
  <r>
    <x v="0"/>
    <x v="0"/>
    <x v="17"/>
    <x v="15"/>
    <x v="36"/>
    <x v="31"/>
    <x v="0"/>
    <x v="32"/>
    <x v="1"/>
    <x v="37"/>
    <x v="27"/>
    <x v="0"/>
    <x v="7"/>
    <x v="0"/>
    <x v="0"/>
    <x v="36"/>
    <x v="0"/>
    <x v="0"/>
    <x v="0"/>
    <x v="35"/>
    <x v="0"/>
    <x v="0"/>
    <x v="7"/>
    <x v="5"/>
    <x v="0"/>
    <x v="4"/>
    <x v="0"/>
    <x v="37"/>
    <x v="0"/>
    <x v="0"/>
    <x v="0"/>
    <x v="32"/>
    <x v="34"/>
    <x v="17"/>
    <x v="9"/>
    <x v="0"/>
    <x v="8"/>
    <x v="0"/>
    <x v="34"/>
    <x v="0"/>
    <x v="38"/>
    <x v="38"/>
    <x v="38"/>
    <x v="38"/>
    <x v="28"/>
    <x v="26"/>
    <x v="33"/>
    <x v="0"/>
    <x v="29"/>
    <x v="0"/>
    <x v="0"/>
    <x v="38"/>
    <x v="34"/>
    <x v="34"/>
    <x v="26"/>
    <x v="0"/>
    <x v="1"/>
    <x v="9"/>
    <x v="9"/>
    <x v="9"/>
    <x v="9"/>
    <x v="28"/>
    <x v="28"/>
    <x v="0"/>
    <x v="2"/>
    <x v="23"/>
    <x v="23"/>
    <x v="0"/>
    <x v="0"/>
    <x v="0"/>
    <x v="0"/>
    <x v="0"/>
    <x v="35"/>
    <x v="38"/>
    <x v="0"/>
    <x v="0"/>
    <x v="1"/>
    <x v="37"/>
    <x v="2"/>
  </r>
  <r>
    <x v="0"/>
    <x v="0"/>
    <x v="32"/>
    <x v="5"/>
    <x v="37"/>
    <x v="32"/>
    <x v="0"/>
    <x v="33"/>
    <x v="1"/>
    <x v="38"/>
    <x v="28"/>
    <x v="0"/>
    <x v="7"/>
    <x v="0"/>
    <x v="0"/>
    <x v="37"/>
    <x v="0"/>
    <x v="0"/>
    <x v="0"/>
    <x v="36"/>
    <x v="0"/>
    <x v="0"/>
    <x v="4"/>
    <x v="0"/>
    <x v="0"/>
    <x v="0"/>
    <x v="0"/>
    <x v="38"/>
    <x v="0"/>
    <x v="0"/>
    <x v="0"/>
    <x v="33"/>
    <x v="35"/>
    <x v="32"/>
    <x v="5"/>
    <x v="0"/>
    <x v="0"/>
    <x v="0"/>
    <x v="35"/>
    <x v="0"/>
    <x v="39"/>
    <x v="39"/>
    <x v="39"/>
    <x v="39"/>
    <x v="29"/>
    <x v="27"/>
    <x v="34"/>
    <x v="0"/>
    <x v="30"/>
    <x v="0"/>
    <x v="0"/>
    <x v="39"/>
    <x v="35"/>
    <x v="35"/>
    <x v="27"/>
    <x v="0"/>
    <x v="15"/>
    <x v="33"/>
    <x v="33"/>
    <x v="29"/>
    <x v="32"/>
    <x v="29"/>
    <x v="29"/>
    <x v="0"/>
    <x v="22"/>
    <x v="24"/>
    <x v="24"/>
    <x v="0"/>
    <x v="0"/>
    <x v="0"/>
    <x v="0"/>
    <x v="0"/>
    <x v="30"/>
    <x v="39"/>
    <x v="0"/>
    <x v="0"/>
    <x v="0"/>
    <x v="38"/>
    <x v="0"/>
  </r>
  <r>
    <x v="0"/>
    <x v="0"/>
    <x v="33"/>
    <x v="22"/>
    <x v="38"/>
    <x v="33"/>
    <x v="1"/>
    <x v="34"/>
    <x v="9"/>
    <x v="39"/>
    <x v="29"/>
    <x v="0"/>
    <x v="0"/>
    <x v="1"/>
    <x v="0"/>
    <x v="38"/>
    <x v="0"/>
    <x v="0"/>
    <x v="2"/>
    <x v="37"/>
    <x v="0"/>
    <x v="0"/>
    <x v="9"/>
    <x v="1"/>
    <x v="0"/>
    <x v="2"/>
    <x v="1"/>
    <x v="39"/>
    <x v="0"/>
    <x v="0"/>
    <x v="2"/>
    <x v="24"/>
    <x v="36"/>
    <x v="33"/>
    <x v="6"/>
    <x v="11"/>
    <x v="9"/>
    <x v="0"/>
    <x v="27"/>
    <x v="0"/>
    <x v="40"/>
    <x v="40"/>
    <x v="40"/>
    <x v="40"/>
    <x v="30"/>
    <x v="28"/>
    <x v="35"/>
    <x v="0"/>
    <x v="9"/>
    <x v="0"/>
    <x v="0"/>
    <x v="40"/>
    <x v="36"/>
    <x v="36"/>
    <x v="28"/>
    <x v="0"/>
    <x v="1"/>
    <x v="34"/>
    <x v="34"/>
    <x v="30"/>
    <x v="33"/>
    <x v="30"/>
    <x v="30"/>
    <x v="0"/>
    <x v="23"/>
    <x v="1"/>
    <x v="25"/>
    <x v="0"/>
    <x v="0"/>
    <x v="0"/>
    <x v="0"/>
    <x v="0"/>
    <x v="36"/>
    <x v="40"/>
    <x v="0"/>
    <x v="0"/>
    <x v="0"/>
    <x v="39"/>
    <x v="0"/>
  </r>
  <r>
    <x v="2"/>
    <x v="0"/>
    <x v="34"/>
    <x v="25"/>
    <x v="39"/>
    <x v="34"/>
    <x v="0"/>
    <x v="35"/>
    <x v="6"/>
    <x v="40"/>
    <x v="30"/>
    <x v="0"/>
    <x v="7"/>
    <x v="0"/>
    <x v="0"/>
    <x v="39"/>
    <x v="0"/>
    <x v="0"/>
    <x v="14"/>
    <x v="38"/>
    <x v="0"/>
    <x v="0"/>
    <x v="9"/>
    <x v="0"/>
    <x v="0"/>
    <x v="2"/>
    <x v="0"/>
    <x v="40"/>
    <x v="0"/>
    <x v="0"/>
    <x v="2"/>
    <x v="34"/>
    <x v="37"/>
    <x v="34"/>
    <x v="6"/>
    <x v="0"/>
    <x v="10"/>
    <x v="0"/>
    <x v="36"/>
    <x v="0"/>
    <x v="41"/>
    <x v="41"/>
    <x v="41"/>
    <x v="41"/>
    <x v="31"/>
    <x v="29"/>
    <x v="36"/>
    <x v="0"/>
    <x v="1"/>
    <x v="0"/>
    <x v="0"/>
    <x v="41"/>
    <x v="37"/>
    <x v="37"/>
    <x v="29"/>
    <x v="0"/>
    <x v="16"/>
    <x v="35"/>
    <x v="35"/>
    <x v="31"/>
    <x v="34"/>
    <x v="31"/>
    <x v="31"/>
    <x v="0"/>
    <x v="1"/>
    <x v="24"/>
    <x v="26"/>
    <x v="0"/>
    <x v="0"/>
    <x v="0"/>
    <x v="0"/>
    <x v="0"/>
    <x v="37"/>
    <x v="41"/>
    <x v="0"/>
    <x v="1"/>
    <x v="1"/>
    <x v="40"/>
    <x v="2"/>
  </r>
  <r>
    <x v="0"/>
    <x v="0"/>
    <x v="12"/>
    <x v="12"/>
    <x v="12"/>
    <x v="12"/>
    <x v="0"/>
    <x v="12"/>
    <x v="5"/>
    <x v="41"/>
    <x v="11"/>
    <x v="0"/>
    <x v="1"/>
    <x v="1"/>
    <x v="0"/>
    <x v="40"/>
    <x v="0"/>
    <x v="0"/>
    <x v="0"/>
    <x v="39"/>
    <x v="0"/>
    <x v="0"/>
    <x v="0"/>
    <x v="2"/>
    <x v="0"/>
    <x v="2"/>
    <x v="1"/>
    <x v="41"/>
    <x v="0"/>
    <x v="0"/>
    <x v="2"/>
    <x v="12"/>
    <x v="12"/>
    <x v="12"/>
    <x v="6"/>
    <x v="0"/>
    <x v="11"/>
    <x v="0"/>
    <x v="37"/>
    <x v="0"/>
    <x v="42"/>
    <x v="42"/>
    <x v="42"/>
    <x v="42"/>
    <x v="10"/>
    <x v="30"/>
    <x v="37"/>
    <x v="0"/>
    <x v="31"/>
    <x v="0"/>
    <x v="0"/>
    <x v="42"/>
    <x v="38"/>
    <x v="38"/>
    <x v="30"/>
    <x v="0"/>
    <x v="17"/>
    <x v="36"/>
    <x v="36"/>
    <x v="32"/>
    <x v="35"/>
    <x v="32"/>
    <x v="32"/>
    <x v="0"/>
    <x v="24"/>
    <x v="25"/>
    <x v="27"/>
    <x v="0"/>
    <x v="0"/>
    <x v="0"/>
    <x v="0"/>
    <x v="0"/>
    <x v="38"/>
    <x v="42"/>
    <x v="0"/>
    <x v="0"/>
    <x v="0"/>
    <x v="41"/>
    <x v="0"/>
  </r>
  <r>
    <x v="1"/>
    <x v="0"/>
    <x v="35"/>
    <x v="10"/>
    <x v="40"/>
    <x v="35"/>
    <x v="2"/>
    <x v="36"/>
    <x v="10"/>
    <x v="42"/>
    <x v="31"/>
    <x v="0"/>
    <x v="2"/>
    <x v="0"/>
    <x v="0"/>
    <x v="41"/>
    <x v="0"/>
    <x v="0"/>
    <x v="15"/>
    <x v="40"/>
    <x v="0"/>
    <x v="0"/>
    <x v="9"/>
    <x v="0"/>
    <x v="0"/>
    <x v="1"/>
    <x v="0"/>
    <x v="42"/>
    <x v="0"/>
    <x v="0"/>
    <x v="1"/>
    <x v="35"/>
    <x v="38"/>
    <x v="35"/>
    <x v="2"/>
    <x v="0"/>
    <x v="0"/>
    <x v="0"/>
    <x v="38"/>
    <x v="0"/>
    <x v="43"/>
    <x v="43"/>
    <x v="43"/>
    <x v="43"/>
    <x v="8"/>
    <x v="1"/>
    <x v="9"/>
    <x v="0"/>
    <x v="9"/>
    <x v="0"/>
    <x v="0"/>
    <x v="43"/>
    <x v="9"/>
    <x v="9"/>
    <x v="2"/>
    <x v="0"/>
    <x v="1"/>
    <x v="9"/>
    <x v="9"/>
    <x v="9"/>
    <x v="9"/>
    <x v="9"/>
    <x v="9"/>
    <x v="0"/>
    <x v="7"/>
    <x v="7"/>
    <x v="28"/>
    <x v="0"/>
    <x v="0"/>
    <x v="0"/>
    <x v="0"/>
    <x v="0"/>
    <x v="39"/>
    <x v="43"/>
    <x v="1"/>
    <x v="0"/>
    <x v="0"/>
    <x v="42"/>
    <x v="0"/>
  </r>
  <r>
    <x v="0"/>
    <x v="0"/>
    <x v="36"/>
    <x v="0"/>
    <x v="0"/>
    <x v="0"/>
    <x v="0"/>
    <x v="0"/>
    <x v="0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43"/>
    <x v="0"/>
    <x v="0"/>
    <x v="0"/>
    <x v="0"/>
    <x v="0"/>
    <x v="36"/>
    <x v="0"/>
    <x v="0"/>
    <x v="0"/>
    <x v="6"/>
    <x v="0"/>
    <x v="0"/>
    <x v="44"/>
    <x v="44"/>
    <x v="44"/>
    <x v="44"/>
    <x v="0"/>
    <x v="28"/>
    <x v="38"/>
    <x v="0"/>
    <x v="32"/>
    <x v="0"/>
    <x v="0"/>
    <x v="44"/>
    <x v="39"/>
    <x v="0"/>
    <x v="31"/>
    <x v="0"/>
    <x v="0"/>
    <x v="37"/>
    <x v="37"/>
    <x v="33"/>
    <x v="36"/>
    <x v="33"/>
    <x v="33"/>
    <x v="0"/>
    <x v="25"/>
    <x v="19"/>
    <x v="29"/>
    <x v="0"/>
    <x v="0"/>
    <x v="0"/>
    <x v="0"/>
    <x v="0"/>
    <x v="40"/>
    <x v="44"/>
    <x v="0"/>
    <x v="0"/>
    <x v="0"/>
    <x v="43"/>
    <x v="0"/>
  </r>
  <r>
    <x v="0"/>
    <x v="0"/>
    <x v="22"/>
    <x v="6"/>
    <x v="41"/>
    <x v="36"/>
    <x v="1"/>
    <x v="20"/>
    <x v="1"/>
    <x v="44"/>
    <x v="32"/>
    <x v="0"/>
    <x v="1"/>
    <x v="1"/>
    <x v="0"/>
    <x v="42"/>
    <x v="0"/>
    <x v="0"/>
    <x v="0"/>
    <x v="41"/>
    <x v="1"/>
    <x v="0"/>
    <x v="0"/>
    <x v="6"/>
    <x v="0"/>
    <x v="2"/>
    <x v="0"/>
    <x v="44"/>
    <x v="0"/>
    <x v="0"/>
    <x v="2"/>
    <x v="36"/>
    <x v="39"/>
    <x v="22"/>
    <x v="6"/>
    <x v="0"/>
    <x v="0"/>
    <x v="0"/>
    <x v="22"/>
    <x v="0"/>
    <x v="45"/>
    <x v="45"/>
    <x v="45"/>
    <x v="45"/>
    <x v="22"/>
    <x v="30"/>
    <x v="39"/>
    <x v="0"/>
    <x v="33"/>
    <x v="0"/>
    <x v="0"/>
    <x v="45"/>
    <x v="40"/>
    <x v="39"/>
    <x v="32"/>
    <x v="0"/>
    <x v="18"/>
    <x v="38"/>
    <x v="38"/>
    <x v="34"/>
    <x v="37"/>
    <x v="34"/>
    <x v="34"/>
    <x v="0"/>
    <x v="5"/>
    <x v="9"/>
    <x v="1"/>
    <x v="0"/>
    <x v="0"/>
    <x v="0"/>
    <x v="0"/>
    <x v="0"/>
    <x v="41"/>
    <x v="23"/>
    <x v="0"/>
    <x v="0"/>
    <x v="0"/>
    <x v="44"/>
    <x v="0"/>
  </r>
  <r>
    <x v="0"/>
    <x v="0"/>
    <x v="37"/>
    <x v="12"/>
    <x v="42"/>
    <x v="16"/>
    <x v="1"/>
    <x v="17"/>
    <x v="1"/>
    <x v="45"/>
    <x v="29"/>
    <x v="0"/>
    <x v="4"/>
    <x v="0"/>
    <x v="0"/>
    <x v="43"/>
    <x v="0"/>
    <x v="0"/>
    <x v="0"/>
    <x v="42"/>
    <x v="0"/>
    <x v="0"/>
    <x v="3"/>
    <x v="5"/>
    <x v="0"/>
    <x v="2"/>
    <x v="1"/>
    <x v="45"/>
    <x v="0"/>
    <x v="0"/>
    <x v="2"/>
    <x v="16"/>
    <x v="40"/>
    <x v="37"/>
    <x v="6"/>
    <x v="0"/>
    <x v="0"/>
    <x v="0"/>
    <x v="39"/>
    <x v="0"/>
    <x v="46"/>
    <x v="46"/>
    <x v="46"/>
    <x v="46"/>
    <x v="32"/>
    <x v="5"/>
    <x v="40"/>
    <x v="0"/>
    <x v="34"/>
    <x v="0"/>
    <x v="0"/>
    <x v="46"/>
    <x v="41"/>
    <x v="40"/>
    <x v="33"/>
    <x v="0"/>
    <x v="19"/>
    <x v="9"/>
    <x v="9"/>
    <x v="9"/>
    <x v="9"/>
    <x v="9"/>
    <x v="9"/>
    <x v="0"/>
    <x v="26"/>
    <x v="12"/>
    <x v="1"/>
    <x v="0"/>
    <x v="0"/>
    <x v="0"/>
    <x v="0"/>
    <x v="0"/>
    <x v="42"/>
    <x v="45"/>
    <x v="1"/>
    <x v="0"/>
    <x v="0"/>
    <x v="45"/>
    <x v="0"/>
  </r>
  <r>
    <x v="3"/>
    <x v="0"/>
    <x v="38"/>
    <x v="26"/>
    <x v="43"/>
    <x v="37"/>
    <x v="0"/>
    <x v="11"/>
    <x v="4"/>
    <x v="46"/>
    <x v="33"/>
    <x v="0"/>
    <x v="1"/>
    <x v="0"/>
    <x v="0"/>
    <x v="44"/>
    <x v="0"/>
    <x v="0"/>
    <x v="5"/>
    <x v="43"/>
    <x v="0"/>
    <x v="0"/>
    <x v="6"/>
    <x v="0"/>
    <x v="0"/>
    <x v="1"/>
    <x v="0"/>
    <x v="46"/>
    <x v="0"/>
    <x v="0"/>
    <x v="1"/>
    <x v="11"/>
    <x v="41"/>
    <x v="38"/>
    <x v="14"/>
    <x v="0"/>
    <x v="0"/>
    <x v="0"/>
    <x v="40"/>
    <x v="0"/>
    <x v="47"/>
    <x v="47"/>
    <x v="47"/>
    <x v="47"/>
    <x v="8"/>
    <x v="1"/>
    <x v="9"/>
    <x v="0"/>
    <x v="9"/>
    <x v="0"/>
    <x v="0"/>
    <x v="47"/>
    <x v="9"/>
    <x v="9"/>
    <x v="2"/>
    <x v="0"/>
    <x v="1"/>
    <x v="9"/>
    <x v="9"/>
    <x v="9"/>
    <x v="9"/>
    <x v="9"/>
    <x v="9"/>
    <x v="0"/>
    <x v="7"/>
    <x v="7"/>
    <x v="30"/>
    <x v="0"/>
    <x v="0"/>
    <x v="0"/>
    <x v="0"/>
    <x v="0"/>
    <x v="43"/>
    <x v="46"/>
    <x v="0"/>
    <x v="0"/>
    <x v="0"/>
    <x v="46"/>
    <x v="0"/>
  </r>
  <r>
    <x v="3"/>
    <x v="0"/>
    <x v="11"/>
    <x v="11"/>
    <x v="11"/>
    <x v="11"/>
    <x v="0"/>
    <x v="30"/>
    <x v="4"/>
    <x v="47"/>
    <x v="10"/>
    <x v="0"/>
    <x v="2"/>
    <x v="0"/>
    <x v="0"/>
    <x v="45"/>
    <x v="0"/>
    <x v="0"/>
    <x v="5"/>
    <x v="44"/>
    <x v="0"/>
    <x v="0"/>
    <x v="6"/>
    <x v="0"/>
    <x v="0"/>
    <x v="2"/>
    <x v="0"/>
    <x v="47"/>
    <x v="0"/>
    <x v="0"/>
    <x v="1"/>
    <x v="11"/>
    <x v="11"/>
    <x v="11"/>
    <x v="2"/>
    <x v="0"/>
    <x v="12"/>
    <x v="0"/>
    <x v="11"/>
    <x v="0"/>
    <x v="48"/>
    <x v="48"/>
    <x v="48"/>
    <x v="48"/>
    <x v="8"/>
    <x v="1"/>
    <x v="9"/>
    <x v="0"/>
    <x v="9"/>
    <x v="0"/>
    <x v="0"/>
    <x v="48"/>
    <x v="9"/>
    <x v="9"/>
    <x v="2"/>
    <x v="0"/>
    <x v="1"/>
    <x v="9"/>
    <x v="9"/>
    <x v="9"/>
    <x v="9"/>
    <x v="9"/>
    <x v="9"/>
    <x v="0"/>
    <x v="7"/>
    <x v="7"/>
    <x v="31"/>
    <x v="0"/>
    <x v="0"/>
    <x v="0"/>
    <x v="0"/>
    <x v="0"/>
    <x v="11"/>
    <x v="47"/>
    <x v="1"/>
    <x v="0"/>
    <x v="0"/>
    <x v="47"/>
    <x v="0"/>
  </r>
  <r>
    <x v="1"/>
    <x v="0"/>
    <x v="39"/>
    <x v="27"/>
    <x v="44"/>
    <x v="37"/>
    <x v="0"/>
    <x v="28"/>
    <x v="4"/>
    <x v="48"/>
    <x v="10"/>
    <x v="0"/>
    <x v="2"/>
    <x v="0"/>
    <x v="0"/>
    <x v="46"/>
    <x v="0"/>
    <x v="0"/>
    <x v="5"/>
    <x v="45"/>
    <x v="0"/>
    <x v="0"/>
    <x v="6"/>
    <x v="0"/>
    <x v="0"/>
    <x v="2"/>
    <x v="0"/>
    <x v="48"/>
    <x v="0"/>
    <x v="0"/>
    <x v="1"/>
    <x v="29"/>
    <x v="42"/>
    <x v="39"/>
    <x v="2"/>
    <x v="0"/>
    <x v="0"/>
    <x v="0"/>
    <x v="41"/>
    <x v="0"/>
    <x v="49"/>
    <x v="49"/>
    <x v="49"/>
    <x v="49"/>
    <x v="8"/>
    <x v="1"/>
    <x v="9"/>
    <x v="0"/>
    <x v="9"/>
    <x v="0"/>
    <x v="0"/>
    <x v="49"/>
    <x v="9"/>
    <x v="9"/>
    <x v="2"/>
    <x v="0"/>
    <x v="1"/>
    <x v="9"/>
    <x v="9"/>
    <x v="9"/>
    <x v="9"/>
    <x v="9"/>
    <x v="9"/>
    <x v="0"/>
    <x v="7"/>
    <x v="7"/>
    <x v="32"/>
    <x v="0"/>
    <x v="0"/>
    <x v="0"/>
    <x v="0"/>
    <x v="0"/>
    <x v="44"/>
    <x v="48"/>
    <x v="1"/>
    <x v="0"/>
    <x v="0"/>
    <x v="48"/>
    <x v="0"/>
  </r>
  <r>
    <x v="0"/>
    <x v="0"/>
    <x v="40"/>
    <x v="12"/>
    <x v="23"/>
    <x v="20"/>
    <x v="1"/>
    <x v="22"/>
    <x v="1"/>
    <x v="49"/>
    <x v="19"/>
    <x v="0"/>
    <x v="7"/>
    <x v="0"/>
    <x v="0"/>
    <x v="24"/>
    <x v="0"/>
    <x v="0"/>
    <x v="0"/>
    <x v="24"/>
    <x v="0"/>
    <x v="0"/>
    <x v="0"/>
    <x v="2"/>
    <x v="0"/>
    <x v="2"/>
    <x v="1"/>
    <x v="49"/>
    <x v="0"/>
    <x v="0"/>
    <x v="2"/>
    <x v="21"/>
    <x v="23"/>
    <x v="40"/>
    <x v="6"/>
    <x v="0"/>
    <x v="0"/>
    <x v="0"/>
    <x v="42"/>
    <x v="0"/>
    <x v="50"/>
    <x v="50"/>
    <x v="50"/>
    <x v="50"/>
    <x v="18"/>
    <x v="31"/>
    <x v="41"/>
    <x v="0"/>
    <x v="35"/>
    <x v="0"/>
    <x v="0"/>
    <x v="50"/>
    <x v="42"/>
    <x v="41"/>
    <x v="34"/>
    <x v="0"/>
    <x v="20"/>
    <x v="39"/>
    <x v="39"/>
    <x v="35"/>
    <x v="38"/>
    <x v="35"/>
    <x v="35"/>
    <x v="0"/>
    <x v="27"/>
    <x v="26"/>
    <x v="33"/>
    <x v="0"/>
    <x v="0"/>
    <x v="0"/>
    <x v="0"/>
    <x v="0"/>
    <x v="45"/>
    <x v="49"/>
    <x v="0"/>
    <x v="0"/>
    <x v="0"/>
    <x v="49"/>
    <x v="0"/>
  </r>
  <r>
    <x v="0"/>
    <x v="0"/>
    <x v="6"/>
    <x v="6"/>
    <x v="6"/>
    <x v="6"/>
    <x v="1"/>
    <x v="6"/>
    <x v="1"/>
    <x v="50"/>
    <x v="6"/>
    <x v="0"/>
    <x v="4"/>
    <x v="0"/>
    <x v="0"/>
    <x v="47"/>
    <x v="0"/>
    <x v="0"/>
    <x v="1"/>
    <x v="46"/>
    <x v="0"/>
    <x v="0"/>
    <x v="2"/>
    <x v="0"/>
    <x v="0"/>
    <x v="2"/>
    <x v="0"/>
    <x v="50"/>
    <x v="0"/>
    <x v="0"/>
    <x v="2"/>
    <x v="6"/>
    <x v="6"/>
    <x v="6"/>
    <x v="6"/>
    <x v="0"/>
    <x v="0"/>
    <x v="0"/>
    <x v="6"/>
    <x v="0"/>
    <x v="51"/>
    <x v="51"/>
    <x v="51"/>
    <x v="51"/>
    <x v="4"/>
    <x v="32"/>
    <x v="42"/>
    <x v="0"/>
    <x v="36"/>
    <x v="0"/>
    <x v="0"/>
    <x v="51"/>
    <x v="43"/>
    <x v="42"/>
    <x v="2"/>
    <x v="0"/>
    <x v="1"/>
    <x v="40"/>
    <x v="40"/>
    <x v="36"/>
    <x v="39"/>
    <x v="36"/>
    <x v="36"/>
    <x v="0"/>
    <x v="11"/>
    <x v="17"/>
    <x v="1"/>
    <x v="0"/>
    <x v="0"/>
    <x v="0"/>
    <x v="0"/>
    <x v="0"/>
    <x v="6"/>
    <x v="6"/>
    <x v="1"/>
    <x v="0"/>
    <x v="0"/>
    <x v="50"/>
    <x v="0"/>
  </r>
  <r>
    <x v="0"/>
    <x v="0"/>
    <x v="22"/>
    <x v="6"/>
    <x v="24"/>
    <x v="21"/>
    <x v="1"/>
    <x v="23"/>
    <x v="1"/>
    <x v="51"/>
    <x v="17"/>
    <x v="0"/>
    <x v="7"/>
    <x v="0"/>
    <x v="0"/>
    <x v="48"/>
    <x v="0"/>
    <x v="0"/>
    <x v="0"/>
    <x v="47"/>
    <x v="0"/>
    <x v="0"/>
    <x v="3"/>
    <x v="5"/>
    <x v="0"/>
    <x v="2"/>
    <x v="0"/>
    <x v="51"/>
    <x v="0"/>
    <x v="0"/>
    <x v="2"/>
    <x v="22"/>
    <x v="24"/>
    <x v="22"/>
    <x v="6"/>
    <x v="0"/>
    <x v="0"/>
    <x v="0"/>
    <x v="43"/>
    <x v="0"/>
    <x v="52"/>
    <x v="52"/>
    <x v="52"/>
    <x v="52"/>
    <x v="19"/>
    <x v="33"/>
    <x v="43"/>
    <x v="0"/>
    <x v="37"/>
    <x v="1"/>
    <x v="0"/>
    <x v="52"/>
    <x v="44"/>
    <x v="43"/>
    <x v="35"/>
    <x v="0"/>
    <x v="21"/>
    <x v="41"/>
    <x v="41"/>
    <x v="9"/>
    <x v="9"/>
    <x v="37"/>
    <x v="37"/>
    <x v="0"/>
    <x v="2"/>
    <x v="27"/>
    <x v="1"/>
    <x v="0"/>
    <x v="0"/>
    <x v="0"/>
    <x v="0"/>
    <x v="0"/>
    <x v="24"/>
    <x v="50"/>
    <x v="0"/>
    <x v="0"/>
    <x v="0"/>
    <x v="51"/>
    <x v="0"/>
  </r>
  <r>
    <x v="0"/>
    <x v="0"/>
    <x v="12"/>
    <x v="12"/>
    <x v="14"/>
    <x v="13"/>
    <x v="1"/>
    <x v="13"/>
    <x v="5"/>
    <x v="52"/>
    <x v="13"/>
    <x v="0"/>
    <x v="2"/>
    <x v="0"/>
    <x v="0"/>
    <x v="49"/>
    <x v="0"/>
    <x v="0"/>
    <x v="1"/>
    <x v="48"/>
    <x v="0"/>
    <x v="0"/>
    <x v="0"/>
    <x v="2"/>
    <x v="0"/>
    <x v="2"/>
    <x v="1"/>
    <x v="52"/>
    <x v="0"/>
    <x v="0"/>
    <x v="2"/>
    <x v="13"/>
    <x v="14"/>
    <x v="12"/>
    <x v="6"/>
    <x v="0"/>
    <x v="0"/>
    <x v="0"/>
    <x v="44"/>
    <x v="0"/>
    <x v="53"/>
    <x v="53"/>
    <x v="53"/>
    <x v="53"/>
    <x v="12"/>
    <x v="34"/>
    <x v="44"/>
    <x v="0"/>
    <x v="38"/>
    <x v="0"/>
    <x v="0"/>
    <x v="53"/>
    <x v="45"/>
    <x v="44"/>
    <x v="2"/>
    <x v="0"/>
    <x v="22"/>
    <x v="42"/>
    <x v="42"/>
    <x v="37"/>
    <x v="40"/>
    <x v="38"/>
    <x v="38"/>
    <x v="0"/>
    <x v="28"/>
    <x v="28"/>
    <x v="1"/>
    <x v="0"/>
    <x v="0"/>
    <x v="0"/>
    <x v="0"/>
    <x v="0"/>
    <x v="14"/>
    <x v="51"/>
    <x v="1"/>
    <x v="0"/>
    <x v="0"/>
    <x v="52"/>
    <x v="0"/>
  </r>
  <r>
    <x v="2"/>
    <x v="0"/>
    <x v="3"/>
    <x v="3"/>
    <x v="3"/>
    <x v="3"/>
    <x v="0"/>
    <x v="3"/>
    <x v="1"/>
    <x v="53"/>
    <x v="3"/>
    <x v="0"/>
    <x v="2"/>
    <x v="0"/>
    <x v="0"/>
    <x v="50"/>
    <x v="0"/>
    <x v="0"/>
    <x v="0"/>
    <x v="49"/>
    <x v="0"/>
    <x v="0"/>
    <x v="3"/>
    <x v="0"/>
    <x v="0"/>
    <x v="0"/>
    <x v="0"/>
    <x v="53"/>
    <x v="0"/>
    <x v="0"/>
    <x v="0"/>
    <x v="3"/>
    <x v="3"/>
    <x v="3"/>
    <x v="3"/>
    <x v="0"/>
    <x v="0"/>
    <x v="0"/>
    <x v="3"/>
    <x v="0"/>
    <x v="54"/>
    <x v="54"/>
    <x v="54"/>
    <x v="54"/>
    <x v="3"/>
    <x v="35"/>
    <x v="45"/>
    <x v="0"/>
    <x v="39"/>
    <x v="0"/>
    <x v="0"/>
    <x v="54"/>
    <x v="46"/>
    <x v="45"/>
    <x v="36"/>
    <x v="0"/>
    <x v="23"/>
    <x v="43"/>
    <x v="43"/>
    <x v="38"/>
    <x v="41"/>
    <x v="39"/>
    <x v="39"/>
    <x v="0"/>
    <x v="3"/>
    <x v="29"/>
    <x v="34"/>
    <x v="0"/>
    <x v="0"/>
    <x v="0"/>
    <x v="0"/>
    <x v="0"/>
    <x v="3"/>
    <x v="3"/>
    <x v="1"/>
    <x v="0"/>
    <x v="0"/>
    <x v="53"/>
    <x v="0"/>
  </r>
  <r>
    <x v="0"/>
    <x v="0"/>
    <x v="41"/>
    <x v="16"/>
    <x v="45"/>
    <x v="38"/>
    <x v="1"/>
    <x v="19"/>
    <x v="1"/>
    <x v="54"/>
    <x v="34"/>
    <x v="0"/>
    <x v="0"/>
    <x v="1"/>
    <x v="0"/>
    <x v="51"/>
    <x v="0"/>
    <x v="0"/>
    <x v="8"/>
    <x v="50"/>
    <x v="0"/>
    <x v="0"/>
    <x v="2"/>
    <x v="0"/>
    <x v="0"/>
    <x v="2"/>
    <x v="0"/>
    <x v="54"/>
    <x v="0"/>
    <x v="0"/>
    <x v="2"/>
    <x v="37"/>
    <x v="43"/>
    <x v="41"/>
    <x v="6"/>
    <x v="0"/>
    <x v="0"/>
    <x v="0"/>
    <x v="4"/>
    <x v="0"/>
    <x v="55"/>
    <x v="55"/>
    <x v="55"/>
    <x v="55"/>
    <x v="33"/>
    <x v="36"/>
    <x v="46"/>
    <x v="0"/>
    <x v="40"/>
    <x v="0"/>
    <x v="0"/>
    <x v="55"/>
    <x v="47"/>
    <x v="46"/>
    <x v="37"/>
    <x v="0"/>
    <x v="24"/>
    <x v="44"/>
    <x v="44"/>
    <x v="39"/>
    <x v="42"/>
    <x v="40"/>
    <x v="40"/>
    <x v="0"/>
    <x v="14"/>
    <x v="30"/>
    <x v="35"/>
    <x v="0"/>
    <x v="0"/>
    <x v="0"/>
    <x v="0"/>
    <x v="0"/>
    <x v="46"/>
    <x v="52"/>
    <x v="0"/>
    <x v="0"/>
    <x v="0"/>
    <x v="54"/>
    <x v="0"/>
  </r>
  <r>
    <x v="0"/>
    <x v="0"/>
    <x v="42"/>
    <x v="28"/>
    <x v="46"/>
    <x v="17"/>
    <x v="0"/>
    <x v="18"/>
    <x v="0"/>
    <x v="55"/>
    <x v="35"/>
    <x v="0"/>
    <x v="0"/>
    <x v="1"/>
    <x v="0"/>
    <x v="52"/>
    <x v="0"/>
    <x v="0"/>
    <x v="0"/>
    <x v="51"/>
    <x v="0"/>
    <x v="0"/>
    <x v="10"/>
    <x v="4"/>
    <x v="0"/>
    <x v="2"/>
    <x v="1"/>
    <x v="55"/>
    <x v="0"/>
    <x v="0"/>
    <x v="2"/>
    <x v="38"/>
    <x v="44"/>
    <x v="42"/>
    <x v="15"/>
    <x v="0"/>
    <x v="13"/>
    <x v="0"/>
    <x v="45"/>
    <x v="0"/>
    <x v="56"/>
    <x v="56"/>
    <x v="56"/>
    <x v="56"/>
    <x v="34"/>
    <x v="2"/>
    <x v="47"/>
    <x v="0"/>
    <x v="41"/>
    <x v="0"/>
    <x v="0"/>
    <x v="56"/>
    <x v="48"/>
    <x v="47"/>
    <x v="38"/>
    <x v="0"/>
    <x v="25"/>
    <x v="45"/>
    <x v="45"/>
    <x v="40"/>
    <x v="43"/>
    <x v="41"/>
    <x v="41"/>
    <x v="0"/>
    <x v="23"/>
    <x v="31"/>
    <x v="36"/>
    <x v="0"/>
    <x v="0"/>
    <x v="0"/>
    <x v="0"/>
    <x v="0"/>
    <x v="47"/>
    <x v="53"/>
    <x v="0"/>
    <x v="0"/>
    <x v="0"/>
    <x v="5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8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J9" firstHeaderRow="1" firstDataRow="3" firstDataCol="1"/>
  <pivotFields count="79">
    <pivotField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7">
        <item x="45"/>
        <item x="55"/>
        <item x="27"/>
        <item x="32"/>
        <item x="14"/>
        <item x="52"/>
        <item x="41"/>
        <item x="12"/>
        <item x="23"/>
        <item x="49"/>
        <item x="46"/>
        <item x="5"/>
        <item x="17"/>
        <item x="9"/>
        <item x="6"/>
        <item x="50"/>
        <item x="13"/>
        <item x="4"/>
        <item x="29"/>
        <item x="48"/>
        <item x="3"/>
        <item x="53"/>
        <item x="30"/>
        <item x="38"/>
        <item x="43"/>
        <item x="7"/>
        <item x="8"/>
        <item x="36"/>
        <item x="0"/>
        <item x="54"/>
        <item x="10"/>
        <item x="31"/>
        <item x="1"/>
        <item x="42"/>
        <item x="33"/>
        <item x="22"/>
        <item x="34"/>
        <item x="20"/>
        <item x="15"/>
        <item x="37"/>
        <item x="18"/>
        <item x="21"/>
        <item x="2"/>
        <item x="40"/>
        <item x="16"/>
        <item x="26"/>
        <item x="39"/>
        <item x="28"/>
        <item x="25"/>
        <item x="47"/>
        <item x="11"/>
        <item x="35"/>
        <item x="19"/>
        <item x="44"/>
        <item x="51"/>
        <item x="2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sortType="descending">
      <items count="4">
        <item x="2"/>
        <item x="1"/>
        <item x="0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30"/>
  </rowFields>
  <rowItems count="4">
    <i>
      <x/>
    </i>
    <i>
      <x v="1"/>
    </i>
    <i>
      <x v="2"/>
    </i>
    <i t="grand">
      <x/>
    </i>
  </rowItems>
  <colFields count="2">
    <field x="74"/>
    <field x="76"/>
  </colFields>
  <colItems count="9">
    <i>
      <x/>
      <x/>
    </i>
    <i r="1">
      <x v="1"/>
    </i>
    <i t="default">
      <x/>
    </i>
    <i>
      <x v="1"/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Dyelot" fld="9" subtotal="count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9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4:E19" firstHeaderRow="1" firstDataRow="2" firstDataCol="1" rowPageCount="1" colPageCount="1"/>
  <pivotFields count="79">
    <pivotField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2">
        <item x="7"/>
        <item x="10"/>
        <item x="4"/>
        <item x="2"/>
        <item x="1"/>
        <item x="5"/>
        <item x="3"/>
        <item x="6"/>
        <item x="8"/>
        <item x="9"/>
        <item x="0"/>
        <item t="default"/>
      </items>
    </pivotField>
    <pivotField dataField="1" compact="0" showAll="0">
      <items count="57">
        <item x="45"/>
        <item x="55"/>
        <item x="27"/>
        <item x="32"/>
        <item x="14"/>
        <item x="52"/>
        <item x="41"/>
        <item x="12"/>
        <item x="23"/>
        <item x="49"/>
        <item x="46"/>
        <item x="5"/>
        <item x="17"/>
        <item x="9"/>
        <item x="6"/>
        <item x="50"/>
        <item x="13"/>
        <item x="4"/>
        <item x="29"/>
        <item x="48"/>
        <item x="3"/>
        <item x="53"/>
        <item x="30"/>
        <item x="38"/>
        <item x="43"/>
        <item x="7"/>
        <item x="8"/>
        <item x="36"/>
        <item x="0"/>
        <item x="54"/>
        <item x="10"/>
        <item x="31"/>
        <item x="1"/>
        <item x="42"/>
        <item x="33"/>
        <item x="22"/>
        <item x="34"/>
        <item x="20"/>
        <item x="15"/>
        <item x="37"/>
        <item x="18"/>
        <item x="21"/>
        <item x="2"/>
        <item x="40"/>
        <item x="16"/>
        <item x="26"/>
        <item x="39"/>
        <item x="28"/>
        <item x="25"/>
        <item x="47"/>
        <item x="11"/>
        <item x="35"/>
        <item x="19"/>
        <item x="44"/>
        <item x="51"/>
        <item x="2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sortType="descending">
      <items count="4">
        <item x="2"/>
        <item x="1"/>
        <item x="0"/>
        <item t="default"/>
      </items>
    </pivotField>
    <pivotField axis="axisPage" compact="0" multipleItemSelectionAllowed="1" showAll="0">
      <items count="3">
        <item x="0"/>
        <item h="1" x="1"/>
        <item t="default"/>
      </items>
    </pivotField>
    <pivotField compact="0" showAll="0">
      <items count="3">
        <item x="1"/>
        <item x="0"/>
        <item t="default"/>
      </items>
    </pivotField>
    <pivotField compact="0" showAll="0"/>
    <pivotField axis="axisCol" compact="0" showAll="0">
      <items count="4">
        <item x="1"/>
        <item x="0"/>
        <item x="2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Fields count="1">
    <field x="78"/>
  </colFields>
  <colItems count="4">
    <i>
      <x/>
    </i>
    <i>
      <x v="1"/>
    </i>
    <i>
      <x v="2"/>
    </i>
    <i t="grand">
      <x/>
    </i>
  </colItems>
  <pageFields count="1">
    <pageField fld="75" hier="0"/>
  </pageFields>
  <dataFields count="1">
    <dataField name="Count of Dyelot" fld="9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9"/>
  <sheetViews>
    <sheetView workbookViewId="0">
      <selection activeCell="I9" sqref="I9"/>
    </sheetView>
  </sheetViews>
  <sheetFormatPr defaultColWidth="8.7265625" defaultRowHeight="14.5"/>
  <cols>
    <col min="1" max="1" width="15.6328125"/>
    <col min="2" max="4" width="15.1796875"/>
    <col min="5" max="5" width="11.54296875"/>
    <col min="6" max="6" width="16.7265625"/>
    <col min="7" max="8" width="11.6328125"/>
    <col min="9" max="9" width="15.08984375"/>
    <col min="10" max="10" width="11.54296875"/>
  </cols>
  <sheetData>
    <row r="3" spans="1:10">
      <c r="A3" t="s">
        <v>0</v>
      </c>
      <c r="B3" t="s">
        <v>1</v>
      </c>
      <c r="C3" t="s">
        <v>2</v>
      </c>
    </row>
    <row r="4" spans="1:10">
      <c r="B4" t="s">
        <v>3</v>
      </c>
      <c r="D4" t="s">
        <v>4</v>
      </c>
      <c r="E4" t="s">
        <v>5</v>
      </c>
      <c r="F4" t="s">
        <v>6</v>
      </c>
      <c r="G4" t="s">
        <v>7</v>
      </c>
      <c r="I4" t="s">
        <v>8</v>
      </c>
      <c r="J4" t="s">
        <v>9</v>
      </c>
    </row>
    <row r="5" spans="1:10">
      <c r="A5" t="s">
        <v>10</v>
      </c>
      <c r="B5" t="s">
        <v>11</v>
      </c>
      <c r="C5" t="s">
        <v>12</v>
      </c>
      <c r="E5" t="s">
        <v>12</v>
      </c>
      <c r="G5" t="s">
        <v>11</v>
      </c>
      <c r="H5" t="s">
        <v>12</v>
      </c>
    </row>
    <row r="6" spans="1:10">
      <c r="A6" t="s">
        <v>13</v>
      </c>
      <c r="B6" s="41"/>
      <c r="C6" s="41"/>
      <c r="D6" s="41">
        <v>0</v>
      </c>
      <c r="E6" s="41">
        <v>1</v>
      </c>
      <c r="F6" s="41">
        <v>0.28571428571428598</v>
      </c>
      <c r="G6" s="41">
        <v>6.6666666666666693E-2</v>
      </c>
      <c r="H6" s="41">
        <v>0.93333333333333302</v>
      </c>
      <c r="I6" s="41">
        <v>0.71428571428571397</v>
      </c>
      <c r="J6" s="41">
        <v>1</v>
      </c>
    </row>
    <row r="7" spans="1:10">
      <c r="A7" t="s">
        <v>14</v>
      </c>
      <c r="B7" s="41"/>
      <c r="C7" s="41"/>
      <c r="D7" s="41">
        <v>0</v>
      </c>
      <c r="E7" s="41">
        <v>1</v>
      </c>
      <c r="F7" s="41">
        <v>0.22222222222222199</v>
      </c>
      <c r="G7" s="41">
        <v>7.1428571428571397E-2</v>
      </c>
      <c r="H7" s="41">
        <v>0.92857142857142905</v>
      </c>
      <c r="I7" s="41">
        <v>0.77777777777777801</v>
      </c>
      <c r="J7" s="41">
        <v>1</v>
      </c>
    </row>
    <row r="8" spans="1:10">
      <c r="A8" t="s">
        <v>15</v>
      </c>
      <c r="B8" s="41">
        <v>0.66666666666666696</v>
      </c>
      <c r="C8" s="41">
        <v>0.33333333333333298</v>
      </c>
      <c r="D8" s="41">
        <v>0.33333333333333298</v>
      </c>
      <c r="E8" s="41">
        <v>1</v>
      </c>
      <c r="F8" s="41">
        <v>0.38888888888888901</v>
      </c>
      <c r="G8" s="41">
        <v>0.2</v>
      </c>
      <c r="H8" s="41">
        <v>0.8</v>
      </c>
      <c r="I8" s="41">
        <v>0.27777777777777801</v>
      </c>
      <c r="J8" s="41">
        <v>1</v>
      </c>
    </row>
    <row r="9" spans="1:10">
      <c r="A9" t="s">
        <v>9</v>
      </c>
      <c r="B9" s="41">
        <v>0.66666666666666696</v>
      </c>
      <c r="C9" s="41">
        <v>0.33333333333333298</v>
      </c>
      <c r="D9" s="41">
        <v>0.105263157894737</v>
      </c>
      <c r="E9" s="41">
        <v>1</v>
      </c>
      <c r="F9" s="41">
        <v>0.29824561403508798</v>
      </c>
      <c r="G9" s="41">
        <v>8.8235294117647106E-2</v>
      </c>
      <c r="H9" s="41">
        <v>0.91176470588235303</v>
      </c>
      <c r="I9" s="41">
        <v>0.59649122807017496</v>
      </c>
      <c r="J9" s="41">
        <v>1</v>
      </c>
    </row>
    <row r="10" spans="1:10">
      <c r="B10" s="41"/>
      <c r="C10" s="41"/>
      <c r="D10" s="41"/>
      <c r="E10" s="41"/>
      <c r="F10" s="41"/>
      <c r="G10" s="41"/>
      <c r="H10" s="41"/>
      <c r="I10" s="41"/>
      <c r="J10" s="41"/>
    </row>
    <row r="11" spans="1:10">
      <c r="B11" s="41"/>
      <c r="C11" s="41"/>
      <c r="D11" s="41"/>
      <c r="E11" s="41"/>
      <c r="F11" s="41"/>
      <c r="G11" s="41"/>
      <c r="H11" s="41"/>
      <c r="I11" s="41"/>
      <c r="J11" s="41"/>
    </row>
    <row r="12" spans="1:10">
      <c r="A12" t="s">
        <v>16</v>
      </c>
      <c r="B12" t="s">
        <v>17</v>
      </c>
    </row>
    <row r="14" spans="1:10">
      <c r="A14" t="s">
        <v>0</v>
      </c>
      <c r="B14" t="s">
        <v>18</v>
      </c>
    </row>
    <row r="15" spans="1:10">
      <c r="A15" t="s">
        <v>10</v>
      </c>
      <c r="B15" t="s">
        <v>19</v>
      </c>
      <c r="C15" t="s">
        <v>12</v>
      </c>
      <c r="D15" t="s">
        <v>20</v>
      </c>
      <c r="E15" t="s">
        <v>9</v>
      </c>
    </row>
    <row r="16" spans="1:10">
      <c r="A16" t="s">
        <v>13</v>
      </c>
      <c r="B16" s="41">
        <v>0</v>
      </c>
      <c r="C16" s="41">
        <v>0.40425531914893598</v>
      </c>
      <c r="D16" s="41">
        <v>0</v>
      </c>
      <c r="E16" s="41">
        <v>0.40425531914893598</v>
      </c>
    </row>
    <row r="17" spans="1:5">
      <c r="A17" t="s">
        <v>14</v>
      </c>
      <c r="B17" s="41">
        <v>0</v>
      </c>
      <c r="C17" s="41">
        <v>0.340425531914894</v>
      </c>
      <c r="D17" s="41">
        <v>2.1276595744680899E-2</v>
      </c>
      <c r="E17" s="41">
        <v>0.36170212765957499</v>
      </c>
    </row>
    <row r="18" spans="1:5">
      <c r="A18" t="s">
        <v>15</v>
      </c>
      <c r="B18" s="41">
        <v>2.1276595744680899E-2</v>
      </c>
      <c r="C18" s="41">
        <v>0.170212765957447</v>
      </c>
      <c r="D18" s="41">
        <v>4.2553191489361701E-2</v>
      </c>
      <c r="E18" s="41">
        <v>0.23404255319148901</v>
      </c>
    </row>
    <row r="19" spans="1:5">
      <c r="A19" t="s">
        <v>9</v>
      </c>
      <c r="B19" s="41">
        <v>2.1276595744680899E-2</v>
      </c>
      <c r="C19" s="41">
        <v>0.91489361702127703</v>
      </c>
      <c r="D19" s="41">
        <v>6.3829787234042604E-2</v>
      </c>
      <c r="E19" s="4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58"/>
  <sheetViews>
    <sheetView topLeftCell="BO1" zoomScale="110" zoomScaleNormal="110" workbookViewId="0">
      <pane xSplit="18945" topLeftCell="E1"/>
      <selection activeCell="BZ19" sqref="BZ19"/>
      <selection pane="topRight"/>
    </sheetView>
  </sheetViews>
  <sheetFormatPr defaultColWidth="9" defaultRowHeight="14.5"/>
  <cols>
    <col min="5" max="5" width="40.453125" customWidth="1"/>
    <col min="41" max="42" width="12.81640625"/>
    <col min="43" max="43" width="13" customWidth="1"/>
    <col min="53" max="53" width="12.81640625"/>
    <col min="59" max="59" width="10.54296875"/>
    <col min="61" max="61" width="11.7265625"/>
    <col min="63" max="63" width="12.81640625"/>
    <col min="67" max="67" width="10.54296875"/>
    <col min="74" max="74" width="16.1796875" customWidth="1"/>
    <col min="76" max="76" width="13.1796875" customWidth="1"/>
    <col min="78" max="78" width="12" customWidth="1"/>
  </cols>
  <sheetData>
    <row r="1" spans="1:7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10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4" t="s">
        <v>1</v>
      </c>
      <c r="BX1" s="5" t="s">
        <v>29</v>
      </c>
      <c r="BY1" s="5" t="s">
        <v>2</v>
      </c>
      <c r="BZ1" s="5" t="s">
        <v>94</v>
      </c>
      <c r="CA1" s="5" t="s">
        <v>18</v>
      </c>
    </row>
    <row r="2" spans="1:79">
      <c r="A2" s="1" t="s">
        <v>95</v>
      </c>
      <c r="B2" s="6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11</v>
      </c>
      <c r="O2" s="1">
        <v>0</v>
      </c>
      <c r="P2" s="1">
        <v>504</v>
      </c>
      <c r="Q2" s="1" t="s">
        <v>108</v>
      </c>
      <c r="R2" s="1" t="s">
        <v>109</v>
      </c>
      <c r="S2" s="1">
        <v>5.5</v>
      </c>
      <c r="T2" s="1">
        <v>2772</v>
      </c>
      <c r="U2" s="1">
        <v>0</v>
      </c>
      <c r="V2" s="1">
        <v>0</v>
      </c>
      <c r="W2" s="1">
        <v>280</v>
      </c>
      <c r="X2" s="1">
        <v>1200</v>
      </c>
      <c r="Y2" s="1">
        <v>0</v>
      </c>
      <c r="Z2" s="1">
        <v>2</v>
      </c>
      <c r="AA2" s="1">
        <v>40</v>
      </c>
      <c r="AB2" s="1" t="s">
        <v>110</v>
      </c>
      <c r="AC2" s="1"/>
      <c r="AD2" s="1"/>
      <c r="AE2" s="1" t="s">
        <v>14</v>
      </c>
      <c r="AF2" s="1" t="s">
        <v>111</v>
      </c>
      <c r="AG2" s="1" t="s">
        <v>112</v>
      </c>
      <c r="AH2" s="1" t="s">
        <v>97</v>
      </c>
      <c r="AI2" s="1" t="s">
        <v>113</v>
      </c>
      <c r="AJ2" s="1"/>
      <c r="AK2" s="1"/>
      <c r="AL2" s="1"/>
      <c r="AM2" s="1" t="s">
        <v>114</v>
      </c>
      <c r="AN2" s="1"/>
      <c r="AO2" s="1">
        <v>46299.2746064815</v>
      </c>
      <c r="AP2" s="1">
        <v>46299.455358796302</v>
      </c>
      <c r="AQ2" s="42">
        <v>46300.307824074102</v>
      </c>
      <c r="AR2" s="1">
        <v>73653</v>
      </c>
      <c r="AS2" s="1">
        <v>70920</v>
      </c>
      <c r="AT2" s="1">
        <v>31</v>
      </c>
      <c r="AU2" s="1">
        <v>3172</v>
      </c>
      <c r="AV2" s="1">
        <v>0</v>
      </c>
      <c r="AW2" s="1">
        <v>32</v>
      </c>
      <c r="AX2" s="1">
        <v>0</v>
      </c>
      <c r="AY2" s="1">
        <v>0</v>
      </c>
      <c r="AZ2" s="1">
        <v>2733</v>
      </c>
      <c r="BA2" s="1">
        <v>103.85363790186101</v>
      </c>
      <c r="BB2" s="1">
        <v>16700</v>
      </c>
      <c r="BC2" s="1">
        <v>16170</v>
      </c>
      <c r="BD2" s="1">
        <v>0</v>
      </c>
      <c r="BE2" s="1">
        <v>2780</v>
      </c>
      <c r="BF2" s="1">
        <v>35650</v>
      </c>
      <c r="BG2" s="1">
        <v>70.734120000000004</v>
      </c>
      <c r="BH2" s="1">
        <v>161</v>
      </c>
      <c r="BI2" s="1">
        <v>0.31944440000000002</v>
      </c>
      <c r="BJ2" s="1">
        <v>1297</v>
      </c>
      <c r="BK2" s="1">
        <v>2.573413</v>
      </c>
      <c r="BL2" s="1">
        <v>0</v>
      </c>
      <c r="BM2" s="1">
        <v>32</v>
      </c>
      <c r="BN2" s="1">
        <v>34</v>
      </c>
      <c r="BO2" s="1">
        <v>96.254909999999995</v>
      </c>
      <c r="BP2" s="1">
        <v>0</v>
      </c>
      <c r="BQ2" s="1"/>
      <c r="BR2" s="1"/>
      <c r="BS2" s="1"/>
      <c r="BT2" s="1"/>
      <c r="BU2" s="1" t="s">
        <v>115</v>
      </c>
      <c r="BV2" s="1" t="str">
        <f>AJ2&amp;AK2&amp;AL2&amp;AM2&amp;AN2</f>
        <v>03-NG</v>
      </c>
      <c r="BW2" s="7" t="str">
        <f t="shared" ref="BW2:BW58" si="0">IF(OR(LEFT(M2,2)="01",LEFT(M2,2)="07"),"lab to bulk",IF(OR(LEFT(M2,2)="08",LEFT(M2,2)="09"),"bulk to bulk","2nd batch"))</f>
        <v>2nd batch</v>
      </c>
      <c r="BX2" s="8" t="str">
        <f t="shared" ref="BX2:BX58" si="1">IF(VALUE(MID(I2,2,LEN(I2)-1))&gt;=500,"&gt;=500kg","Small Machine")</f>
        <v>&gt;=500kg</v>
      </c>
      <c r="BY2" t="str">
        <f>IF(OR(IFERROR(VLOOKUP(J2,[1]NC!$L:$L,1,0),0)&lt;&gt;0,BQ2&gt;0),"NG","OK")</f>
        <v>OK</v>
      </c>
      <c r="BZ2" s="7" t="str">
        <f>LEFT(J2,LEN(J2)-1)&amp;RIGHT(J2,1)+1</f>
        <v>C260708661</v>
      </c>
      <c r="CA2" t="str">
        <f>IF(OR(IFERROR(VLOOKUP(BZ2,[2]DG!$H:$H,1,0),0)&lt;&gt;0,IFERROR(VLOOKUP(J2,[1]NC!$L:$L,1,0),0)&lt;&gt;0),"Rework",IF(BQ2&gt;0,"Adjustment","OK"))</f>
        <v>OK</v>
      </c>
    </row>
    <row r="3" spans="1:79">
      <c r="A3" s="1" t="s">
        <v>95</v>
      </c>
      <c r="B3" s="9" t="s">
        <v>96</v>
      </c>
      <c r="C3" s="1" t="s">
        <v>116</v>
      </c>
      <c r="D3" s="1" t="s">
        <v>117</v>
      </c>
      <c r="E3" s="1" t="s">
        <v>118</v>
      </c>
      <c r="F3" s="1" t="s">
        <v>119</v>
      </c>
      <c r="G3" s="1" t="s">
        <v>120</v>
      </c>
      <c r="H3" s="1" t="s">
        <v>121</v>
      </c>
      <c r="I3" s="1" t="s">
        <v>103</v>
      </c>
      <c r="J3" s="1" t="s">
        <v>122</v>
      </c>
      <c r="K3" s="1" t="s">
        <v>123</v>
      </c>
      <c r="L3" s="1" t="s">
        <v>106</v>
      </c>
      <c r="M3" s="1" t="s">
        <v>124</v>
      </c>
      <c r="N3" s="1" t="s">
        <v>11</v>
      </c>
      <c r="O3" s="1">
        <v>0</v>
      </c>
      <c r="P3" s="1">
        <v>349</v>
      </c>
      <c r="Q3" s="1" t="s">
        <v>108</v>
      </c>
      <c r="R3" s="1" t="s">
        <v>109</v>
      </c>
      <c r="S3" s="1">
        <v>6</v>
      </c>
      <c r="T3" s="1">
        <v>2094</v>
      </c>
      <c r="U3" s="1">
        <v>0</v>
      </c>
      <c r="V3" s="1">
        <v>0</v>
      </c>
      <c r="W3" s="1">
        <v>170</v>
      </c>
      <c r="X3" s="1">
        <v>1200</v>
      </c>
      <c r="Y3" s="1">
        <v>0</v>
      </c>
      <c r="Z3" s="1">
        <v>2</v>
      </c>
      <c r="AA3" s="1">
        <v>40</v>
      </c>
      <c r="AB3" s="1" t="s">
        <v>125</v>
      </c>
      <c r="AC3" s="1"/>
      <c r="AD3" s="1"/>
      <c r="AE3" s="1" t="s">
        <v>14</v>
      </c>
      <c r="AF3" s="1" t="s">
        <v>126</v>
      </c>
      <c r="AG3" s="1" t="s">
        <v>127</v>
      </c>
      <c r="AH3" s="1" t="s">
        <v>116</v>
      </c>
      <c r="AI3" s="1" t="s">
        <v>128</v>
      </c>
      <c r="AJ3" s="1" t="s">
        <v>129</v>
      </c>
      <c r="AK3" s="1"/>
      <c r="AL3" s="1"/>
      <c r="AM3" s="1" t="s">
        <v>130</v>
      </c>
      <c r="AN3" s="1"/>
      <c r="AO3" s="1">
        <v>46299.1036342593</v>
      </c>
      <c r="AP3" s="1">
        <v>46299.760787036997</v>
      </c>
      <c r="AQ3" s="42">
        <v>46300.431562500002</v>
      </c>
      <c r="AR3" s="1">
        <v>57955</v>
      </c>
      <c r="AS3" s="1">
        <v>79740</v>
      </c>
      <c r="AT3" s="1">
        <v>0</v>
      </c>
      <c r="AU3" s="1">
        <v>1191</v>
      </c>
      <c r="AV3" s="1">
        <v>0</v>
      </c>
      <c r="AW3" s="1">
        <v>6</v>
      </c>
      <c r="AX3" s="1">
        <v>0</v>
      </c>
      <c r="AY3" s="1">
        <v>0</v>
      </c>
      <c r="AZ3" s="1">
        <v>-21785</v>
      </c>
      <c r="BA3" s="1">
        <v>72.679959869576095</v>
      </c>
      <c r="BB3" s="1">
        <v>14440</v>
      </c>
      <c r="BC3" s="1">
        <v>4200</v>
      </c>
      <c r="BD3" s="1">
        <v>0</v>
      </c>
      <c r="BE3" s="1">
        <v>0</v>
      </c>
      <c r="BF3" s="1">
        <v>18640</v>
      </c>
      <c r="BG3" s="1">
        <v>53.409739999999999</v>
      </c>
      <c r="BH3" s="1">
        <v>132</v>
      </c>
      <c r="BI3" s="1">
        <v>0.37822349999999999</v>
      </c>
      <c r="BJ3" s="1">
        <v>840</v>
      </c>
      <c r="BK3" s="1">
        <v>2.4068770000000002</v>
      </c>
      <c r="BL3" s="1">
        <v>0</v>
      </c>
      <c r="BM3" s="1">
        <v>22</v>
      </c>
      <c r="BN3" s="1">
        <v>8</v>
      </c>
      <c r="BO3" s="1">
        <v>0</v>
      </c>
      <c r="BP3" s="1">
        <v>0</v>
      </c>
      <c r="BQ3" s="1"/>
      <c r="BR3" s="1"/>
      <c r="BS3" s="1"/>
      <c r="BT3" s="1"/>
      <c r="BU3" s="1" t="s">
        <v>131</v>
      </c>
      <c r="BV3" s="1" t="str">
        <f>AJ3&amp;AK3&amp;AL3&amp;AM3&amp;AN3</f>
        <v>*cho xe ra vai+cho khach hang di*06-NG # BON, CAT 2 YARD TINH LUYEN</v>
      </c>
      <c r="BW3" s="7" t="str">
        <f t="shared" si="0"/>
        <v>2nd batch</v>
      </c>
      <c r="BX3" s="8" t="str">
        <f t="shared" si="1"/>
        <v>&gt;=500kg</v>
      </c>
      <c r="BY3" t="str">
        <f>IF(OR(IFERROR(VLOOKUP(J3,[1]NC!$L:$L,1,0),0)&lt;&gt;0,BQ3&gt;0),"NG","OK")</f>
        <v>OK</v>
      </c>
      <c r="BZ3" s="7" t="str">
        <f>LEFT(J3,LEN(J3)-1)&amp;RIGHT(J3,1)+1</f>
        <v>C260709571</v>
      </c>
      <c r="CA3" t="str">
        <f>IF(OR(IFERROR(VLOOKUP(BZ3,[2]DG!$H:$H,1,0),0)&lt;&gt;0,IFERROR(VLOOKUP(J3,[1]NC!$L:$L,1,0),0)&lt;&gt;0),"Rework",IF(BQ3&gt;0,"Adjustment","OK"))</f>
        <v>OK</v>
      </c>
    </row>
    <row r="4" spans="1:79">
      <c r="A4" s="1" t="s">
        <v>132</v>
      </c>
      <c r="B4" s="10" t="s">
        <v>96</v>
      </c>
      <c r="C4" s="1" t="s">
        <v>133</v>
      </c>
      <c r="D4" s="1" t="s">
        <v>134</v>
      </c>
      <c r="E4" s="1" t="s">
        <v>135</v>
      </c>
      <c r="F4" s="1" t="s">
        <v>136</v>
      </c>
      <c r="G4" s="1" t="s">
        <v>120</v>
      </c>
      <c r="H4" s="1" t="s">
        <v>137</v>
      </c>
      <c r="I4" s="1" t="s">
        <v>103</v>
      </c>
      <c r="J4" s="1" t="s">
        <v>138</v>
      </c>
      <c r="K4" s="1" t="s">
        <v>139</v>
      </c>
      <c r="L4" s="1" t="s">
        <v>106</v>
      </c>
      <c r="M4" s="1" t="s">
        <v>140</v>
      </c>
      <c r="N4" s="1" t="s">
        <v>11</v>
      </c>
      <c r="O4" s="1">
        <v>0</v>
      </c>
      <c r="P4" s="1">
        <v>309.39999999999998</v>
      </c>
      <c r="Q4" s="1" t="s">
        <v>108</v>
      </c>
      <c r="R4" s="1" t="s">
        <v>109</v>
      </c>
      <c r="S4" s="1">
        <v>6.5</v>
      </c>
      <c r="T4" s="1">
        <v>2011.1</v>
      </c>
      <c r="U4" s="1">
        <v>0</v>
      </c>
      <c r="V4" s="1">
        <v>0</v>
      </c>
      <c r="W4" s="1">
        <v>300</v>
      </c>
      <c r="X4" s="1">
        <v>1000</v>
      </c>
      <c r="Y4" s="1">
        <v>0</v>
      </c>
      <c r="Z4" s="1">
        <v>1.8</v>
      </c>
      <c r="AA4" s="1">
        <v>30</v>
      </c>
      <c r="AB4" s="1" t="s">
        <v>141</v>
      </c>
      <c r="AC4" s="1"/>
      <c r="AD4" s="1"/>
      <c r="AE4" s="1" t="s">
        <v>15</v>
      </c>
      <c r="AF4" s="1" t="s">
        <v>142</v>
      </c>
      <c r="AG4" s="1" t="s">
        <v>143</v>
      </c>
      <c r="AH4" s="1" t="s">
        <v>133</v>
      </c>
      <c r="AI4" s="1" t="s">
        <v>144</v>
      </c>
      <c r="AJ4" s="1" t="s">
        <v>145</v>
      </c>
      <c r="AK4" s="1"/>
      <c r="AL4" s="1"/>
      <c r="AM4" s="1" t="s">
        <v>146</v>
      </c>
      <c r="AN4" s="1"/>
      <c r="AO4" s="1">
        <v>46299.706215277802</v>
      </c>
      <c r="AP4" s="1">
        <v>46300.205729166701</v>
      </c>
      <c r="AQ4" s="42">
        <v>46300.475868055597</v>
      </c>
      <c r="AR4" s="1">
        <v>23340</v>
      </c>
      <c r="AS4" s="1">
        <v>39660</v>
      </c>
      <c r="AT4" s="1">
        <v>27</v>
      </c>
      <c r="AU4" s="1">
        <v>1014</v>
      </c>
      <c r="AV4" s="1">
        <v>0</v>
      </c>
      <c r="AW4" s="1">
        <v>63</v>
      </c>
      <c r="AX4" s="1">
        <v>0</v>
      </c>
      <c r="AY4" s="1">
        <v>0</v>
      </c>
      <c r="AZ4" s="1">
        <v>-16320</v>
      </c>
      <c r="BA4" s="1">
        <v>58.850226928895601</v>
      </c>
      <c r="BB4" s="1">
        <v>10330</v>
      </c>
      <c r="BC4" s="1">
        <v>0</v>
      </c>
      <c r="BD4" s="1">
        <v>0</v>
      </c>
      <c r="BE4" s="1">
        <v>0</v>
      </c>
      <c r="BF4" s="1">
        <v>10330</v>
      </c>
      <c r="BG4" s="1">
        <v>33.3872</v>
      </c>
      <c r="BH4" s="1">
        <v>49</v>
      </c>
      <c r="BI4" s="1">
        <v>0.15837100000000001</v>
      </c>
      <c r="BJ4" s="1">
        <v>459</v>
      </c>
      <c r="BK4" s="1">
        <v>1.4835160000000001</v>
      </c>
      <c r="BL4" s="1">
        <v>0</v>
      </c>
      <c r="BM4" s="1">
        <v>27</v>
      </c>
      <c r="BN4" s="1">
        <v>23</v>
      </c>
      <c r="BO4" s="1">
        <v>0</v>
      </c>
      <c r="BP4" s="1">
        <v>0</v>
      </c>
      <c r="BQ4" s="1"/>
      <c r="BR4" s="1"/>
      <c r="BS4" s="1"/>
      <c r="BT4" s="1"/>
      <c r="BU4" s="1" t="s">
        <v>147</v>
      </c>
      <c r="BV4" s="1" t="str">
        <f>AJ4&amp;AK4&amp;AL4&amp;AM4&amp;AN4</f>
        <v>*cho xe ra vai*08-OK ST C260689600</v>
      </c>
      <c r="BW4" s="7" t="str">
        <f t="shared" si="0"/>
        <v>bulk to bulk</v>
      </c>
      <c r="BX4" s="8" t="str">
        <f t="shared" si="1"/>
        <v>&gt;=500kg</v>
      </c>
      <c r="BY4" t="str">
        <f>IF(OR(IFERROR(VLOOKUP(J4,[1]NC!$L:$L,1,0),0)&lt;&gt;0,BQ4&gt;0),"NG","OK")</f>
        <v>OK</v>
      </c>
      <c r="BZ4" s="7" t="str">
        <f t="shared" ref="BZ3:BZ34" si="2">LEFT(J4,LEN(J4)-1)&amp;RIGHT(J4,1)+1</f>
        <v>C260713441</v>
      </c>
      <c r="CA4" t="str">
        <f>IF(OR(IFERROR(VLOOKUP(BZ4,[2]DG!$H:$H,1,0),0)&lt;&gt;0,IFERROR(VLOOKUP(J4,[1]NC!$L:$L,1,0),0)&lt;&gt;0),"Rework",IF(BQ4&gt;0,"Adjustment","OK"))</f>
        <v>OK</v>
      </c>
    </row>
    <row r="5" spans="1:79">
      <c r="A5" s="1" t="s">
        <v>148</v>
      </c>
      <c r="B5" s="11" t="s">
        <v>96</v>
      </c>
      <c r="C5" s="1" t="s">
        <v>149</v>
      </c>
      <c r="D5" s="1" t="s">
        <v>150</v>
      </c>
      <c r="E5" s="1" t="s">
        <v>151</v>
      </c>
      <c r="F5" s="1" t="s">
        <v>152</v>
      </c>
      <c r="G5" s="1" t="s">
        <v>101</v>
      </c>
      <c r="H5" s="1" t="s">
        <v>153</v>
      </c>
      <c r="I5" s="1" t="s">
        <v>154</v>
      </c>
      <c r="J5" s="1" t="s">
        <v>155</v>
      </c>
      <c r="K5" s="1" t="s">
        <v>156</v>
      </c>
      <c r="L5" s="1" t="s">
        <v>106</v>
      </c>
      <c r="M5" s="1" t="s">
        <v>140</v>
      </c>
      <c r="N5" s="1" t="s">
        <v>11</v>
      </c>
      <c r="O5" s="1">
        <v>0</v>
      </c>
      <c r="P5" s="1">
        <v>1226</v>
      </c>
      <c r="Q5" s="1" t="s">
        <v>108</v>
      </c>
      <c r="R5" s="1" t="s">
        <v>109</v>
      </c>
      <c r="S5" s="1">
        <v>5.5</v>
      </c>
      <c r="T5" s="1">
        <v>6743</v>
      </c>
      <c r="U5" s="1">
        <v>0</v>
      </c>
      <c r="V5" s="1">
        <v>0</v>
      </c>
      <c r="W5" s="1">
        <v>260</v>
      </c>
      <c r="X5" s="1">
        <v>1200</v>
      </c>
      <c r="Y5" s="1">
        <v>0</v>
      </c>
      <c r="Z5" s="1">
        <v>2</v>
      </c>
      <c r="AA5" s="1">
        <v>40</v>
      </c>
      <c r="AB5" s="1" t="s">
        <v>157</v>
      </c>
      <c r="AC5" s="1"/>
      <c r="AD5" s="1"/>
      <c r="AE5" s="1" t="s">
        <v>14</v>
      </c>
      <c r="AF5" s="1" t="s">
        <v>158</v>
      </c>
      <c r="AG5" s="1" t="s">
        <v>159</v>
      </c>
      <c r="AH5" s="1" t="s">
        <v>149</v>
      </c>
      <c r="AI5" s="1" t="s">
        <v>160</v>
      </c>
      <c r="AJ5" s="1"/>
      <c r="AK5" s="1"/>
      <c r="AL5" s="1"/>
      <c r="AM5" s="1" t="s">
        <v>161</v>
      </c>
      <c r="AN5" s="1"/>
      <c r="AO5" s="1">
        <v>46299.271307870396</v>
      </c>
      <c r="AP5" s="1">
        <v>46299.7867708333</v>
      </c>
      <c r="AQ5" s="42">
        <v>46300.4816782407</v>
      </c>
      <c r="AR5" s="1">
        <v>60040</v>
      </c>
      <c r="AS5" s="1">
        <v>65700</v>
      </c>
      <c r="AT5" s="1">
        <v>26</v>
      </c>
      <c r="AU5" s="1">
        <v>980</v>
      </c>
      <c r="AV5" s="1">
        <v>0</v>
      </c>
      <c r="AW5" s="1">
        <v>224</v>
      </c>
      <c r="AX5" s="1">
        <v>0</v>
      </c>
      <c r="AY5" s="1">
        <v>0</v>
      </c>
      <c r="AZ5" s="1">
        <v>-5660</v>
      </c>
      <c r="BA5" s="1">
        <v>91.385083713850804</v>
      </c>
      <c r="BB5" s="1">
        <v>27120</v>
      </c>
      <c r="BC5" s="1">
        <v>34400</v>
      </c>
      <c r="BD5" s="1">
        <v>0</v>
      </c>
      <c r="BE5" s="1">
        <v>23450</v>
      </c>
      <c r="BF5" s="1">
        <v>84970</v>
      </c>
      <c r="BG5" s="1">
        <v>69.306690000000003</v>
      </c>
      <c r="BH5" s="1">
        <v>250</v>
      </c>
      <c r="BI5" s="1">
        <v>0.20391519999999999</v>
      </c>
      <c r="BJ5" s="1">
        <v>2497</v>
      </c>
      <c r="BK5" s="1">
        <v>2.036705</v>
      </c>
      <c r="BL5" s="1">
        <v>0</v>
      </c>
      <c r="BM5" s="1">
        <v>64</v>
      </c>
      <c r="BN5" s="1">
        <v>81</v>
      </c>
      <c r="BO5" s="1">
        <v>526.65440000000001</v>
      </c>
      <c r="BP5" s="1">
        <v>0</v>
      </c>
      <c r="BQ5" s="1"/>
      <c r="BR5" s="1"/>
      <c r="BS5" s="1"/>
      <c r="BT5" s="1"/>
      <c r="BU5" s="1" t="s">
        <v>162</v>
      </c>
      <c r="BV5" s="1" t="str">
        <f t="shared" ref="BV5:BV36" si="3">AJ5&amp;AK5&amp;AL5&amp;AM5&amp;AN5</f>
        <v>08-OK ST C260703910</v>
      </c>
      <c r="BW5" s="7" t="str">
        <f t="shared" si="0"/>
        <v>bulk to bulk</v>
      </c>
      <c r="BX5" s="8" t="str">
        <f t="shared" si="1"/>
        <v>&gt;=500kg</v>
      </c>
      <c r="BY5" t="str">
        <f>IF(OR(IFERROR(VLOOKUP(J5,[1]NC!$L:$L,1,0),0)&lt;&gt;0,BQ5&gt;0),"NG","OK")</f>
        <v>OK</v>
      </c>
      <c r="BZ5" s="7" t="str">
        <f t="shared" si="2"/>
        <v>C260703921</v>
      </c>
      <c r="CA5" t="str">
        <f>IF(OR(IFERROR(VLOOKUP(BZ5,[2]DG!$H:$H,1,0),0)&lt;&gt;0,IFERROR(VLOOKUP(J5,[1]NC!$L:$L,1,0),0)&lt;&gt;0),"Rework",IF(BQ5&gt;0,"Adjustment","OK"))</f>
        <v>OK</v>
      </c>
    </row>
    <row r="6" spans="1:79">
      <c r="A6" s="1" t="s">
        <v>95</v>
      </c>
      <c r="B6" s="12" t="s">
        <v>96</v>
      </c>
      <c r="C6" s="1" t="s">
        <v>163</v>
      </c>
      <c r="D6" s="1" t="s">
        <v>164</v>
      </c>
      <c r="E6" s="1" t="s">
        <v>165</v>
      </c>
      <c r="F6" s="1" t="s">
        <v>166</v>
      </c>
      <c r="G6" s="1" t="s">
        <v>120</v>
      </c>
      <c r="H6" s="1" t="s">
        <v>167</v>
      </c>
      <c r="I6" s="1" t="s">
        <v>103</v>
      </c>
      <c r="J6" s="1" t="s">
        <v>168</v>
      </c>
      <c r="K6" s="1" t="s">
        <v>169</v>
      </c>
      <c r="L6" s="1" t="s">
        <v>106</v>
      </c>
      <c r="M6" s="1" t="s">
        <v>107</v>
      </c>
      <c r="N6" s="1" t="s">
        <v>12</v>
      </c>
      <c r="O6" s="1">
        <v>0</v>
      </c>
      <c r="P6" s="1">
        <v>485</v>
      </c>
      <c r="Q6" s="1" t="s">
        <v>108</v>
      </c>
      <c r="R6" s="1" t="s">
        <v>109</v>
      </c>
      <c r="S6" s="1">
        <v>5.5</v>
      </c>
      <c r="T6" s="1">
        <v>2667.5</v>
      </c>
      <c r="U6" s="1">
        <v>0</v>
      </c>
      <c r="V6" s="1">
        <v>0</v>
      </c>
      <c r="W6" s="1">
        <v>300</v>
      </c>
      <c r="X6" s="1">
        <v>1150</v>
      </c>
      <c r="Y6" s="1">
        <v>0</v>
      </c>
      <c r="Z6" s="1">
        <v>2</v>
      </c>
      <c r="AA6" s="1">
        <v>40</v>
      </c>
      <c r="AB6" s="1" t="s">
        <v>170</v>
      </c>
      <c r="AC6" s="1"/>
      <c r="AD6" s="1"/>
      <c r="AE6" s="1" t="s">
        <v>14</v>
      </c>
      <c r="AF6" s="1" t="s">
        <v>171</v>
      </c>
      <c r="AG6" s="1" t="s">
        <v>172</v>
      </c>
      <c r="AH6" s="1" t="s">
        <v>163</v>
      </c>
      <c r="AI6" s="1" t="s">
        <v>173</v>
      </c>
      <c r="AJ6" s="1" t="s">
        <v>174</v>
      </c>
      <c r="AK6" s="1"/>
      <c r="AL6" s="1"/>
      <c r="AM6" s="1" t="s">
        <v>175</v>
      </c>
      <c r="AN6" s="1"/>
      <c r="AO6" s="1">
        <v>46300.213043981501</v>
      </c>
      <c r="AP6" s="1">
        <v>46300.224421296298</v>
      </c>
      <c r="AQ6" s="42">
        <v>46300.537557870397</v>
      </c>
      <c r="AR6" s="1">
        <v>27055</v>
      </c>
      <c r="AS6" s="1">
        <v>49860</v>
      </c>
      <c r="AT6" s="1">
        <v>236</v>
      </c>
      <c r="AU6" s="1">
        <v>2160</v>
      </c>
      <c r="AV6" s="1">
        <v>0</v>
      </c>
      <c r="AW6" s="1">
        <v>106</v>
      </c>
      <c r="AX6" s="1">
        <v>0</v>
      </c>
      <c r="AY6" s="1">
        <v>0</v>
      </c>
      <c r="AZ6" s="1">
        <v>-22805</v>
      </c>
      <c r="BA6" s="1">
        <v>54.261933413557998</v>
      </c>
      <c r="BB6" s="1">
        <v>14360</v>
      </c>
      <c r="BC6" s="1">
        <v>3400</v>
      </c>
      <c r="BD6" s="1">
        <v>0</v>
      </c>
      <c r="BE6" s="1">
        <v>0</v>
      </c>
      <c r="BF6" s="1">
        <v>17760</v>
      </c>
      <c r="BG6" s="1">
        <v>36.618560000000002</v>
      </c>
      <c r="BH6" s="1">
        <v>57</v>
      </c>
      <c r="BI6" s="1">
        <v>0.1175258</v>
      </c>
      <c r="BJ6" s="1">
        <v>509</v>
      </c>
      <c r="BK6" s="1">
        <v>1.0494840000000001</v>
      </c>
      <c r="BL6" s="1">
        <v>0</v>
      </c>
      <c r="BM6" s="1">
        <v>19</v>
      </c>
      <c r="BN6" s="1">
        <v>8</v>
      </c>
      <c r="BO6" s="1">
        <v>0.44872200000000001</v>
      </c>
      <c r="BP6" s="1">
        <v>0</v>
      </c>
      <c r="BQ6" s="1"/>
      <c r="BR6" s="1"/>
      <c r="BS6" s="1"/>
      <c r="BT6" s="1"/>
      <c r="BU6" s="1" t="s">
        <v>176</v>
      </c>
      <c r="BV6" s="1" t="str">
        <f t="shared" si="3"/>
        <v>*CHO XAC NHAN CT*03-NG, THE DAU, CAT 2Y VAI</v>
      </c>
      <c r="BW6" s="7" t="str">
        <f t="shared" si="0"/>
        <v>2nd batch</v>
      </c>
      <c r="BX6" s="8" t="str">
        <f t="shared" si="1"/>
        <v>&gt;=500kg</v>
      </c>
      <c r="BY6" t="str">
        <f>IF(OR(IFERROR(VLOOKUP(J6,[1]NC!$L:$L,1,0),0)&lt;&gt;0,BQ6&gt;0),"NG","OK")</f>
        <v>OK</v>
      </c>
      <c r="BZ6" s="7" t="str">
        <f t="shared" si="2"/>
        <v>C260703141</v>
      </c>
      <c r="CA6" t="str">
        <f>IF(OR(IFERROR(VLOOKUP(BZ6,[2]DG!$H:$H,1,0),0)&lt;&gt;0,IFERROR(VLOOKUP(J6,[1]NC!$L:$L,1,0),0)&lt;&gt;0),"Rework",IF(BQ6&gt;0,"Adjustment","OK"))</f>
        <v>OK</v>
      </c>
    </row>
    <row r="7" spans="1:79">
      <c r="A7" s="1" t="s">
        <v>95</v>
      </c>
      <c r="B7" s="13" t="s">
        <v>96</v>
      </c>
      <c r="C7" s="1" t="s">
        <v>177</v>
      </c>
      <c r="D7" s="1" t="s">
        <v>178</v>
      </c>
      <c r="E7" s="1" t="s">
        <v>179</v>
      </c>
      <c r="F7" s="1" t="s">
        <v>180</v>
      </c>
      <c r="G7" s="1" t="s">
        <v>101</v>
      </c>
      <c r="H7" s="1" t="s">
        <v>181</v>
      </c>
      <c r="I7" s="1" t="s">
        <v>103</v>
      </c>
      <c r="J7" s="1" t="s">
        <v>182</v>
      </c>
      <c r="K7" s="1" t="s">
        <v>183</v>
      </c>
      <c r="L7" s="1" t="s">
        <v>106</v>
      </c>
      <c r="M7" s="1" t="s">
        <v>184</v>
      </c>
      <c r="N7" s="1" t="s">
        <v>11</v>
      </c>
      <c r="O7" s="1">
        <v>0</v>
      </c>
      <c r="P7" s="1">
        <v>516</v>
      </c>
      <c r="Q7" s="1" t="s">
        <v>108</v>
      </c>
      <c r="R7" s="1" t="s">
        <v>109</v>
      </c>
      <c r="S7" s="1">
        <v>5.5</v>
      </c>
      <c r="T7" s="1">
        <v>2838</v>
      </c>
      <c r="U7" s="1">
        <v>0</v>
      </c>
      <c r="V7" s="1">
        <v>0</v>
      </c>
      <c r="W7" s="1">
        <v>200</v>
      </c>
      <c r="X7" s="1">
        <v>1200</v>
      </c>
      <c r="Y7" s="1">
        <v>0</v>
      </c>
      <c r="Z7" s="1">
        <v>2</v>
      </c>
      <c r="AA7" s="1">
        <v>40</v>
      </c>
      <c r="AB7" s="1" t="s">
        <v>185</v>
      </c>
      <c r="AC7" s="1"/>
      <c r="AD7" s="1"/>
      <c r="AE7" s="1" t="s">
        <v>14</v>
      </c>
      <c r="AF7" s="1" t="s">
        <v>186</v>
      </c>
      <c r="AG7" s="1" t="s">
        <v>187</v>
      </c>
      <c r="AH7" s="1" t="s">
        <v>177</v>
      </c>
      <c r="AI7" s="1" t="s">
        <v>188</v>
      </c>
      <c r="AJ7" s="1"/>
      <c r="AK7" s="1"/>
      <c r="AL7" s="1"/>
      <c r="AM7" s="1" t="s">
        <v>189</v>
      </c>
      <c r="AN7" s="1"/>
      <c r="AO7" s="1">
        <v>46298.9823958333</v>
      </c>
      <c r="AP7" s="1">
        <v>46299.741851851897</v>
      </c>
      <c r="AQ7" s="42">
        <v>46300.542013888902</v>
      </c>
      <c r="AR7" s="1">
        <v>69134</v>
      </c>
      <c r="AS7" s="1">
        <v>103620</v>
      </c>
      <c r="AT7" s="1">
        <v>14</v>
      </c>
      <c r="AU7" s="1">
        <v>3125</v>
      </c>
      <c r="AV7" s="1">
        <v>0</v>
      </c>
      <c r="AW7" s="1">
        <v>3</v>
      </c>
      <c r="AX7" s="1">
        <v>0</v>
      </c>
      <c r="AY7" s="1">
        <v>0</v>
      </c>
      <c r="AZ7" s="1">
        <v>-34486</v>
      </c>
      <c r="BA7" s="1">
        <v>66.718780158270604</v>
      </c>
      <c r="BB7" s="1">
        <v>19110</v>
      </c>
      <c r="BC7" s="1">
        <v>14480</v>
      </c>
      <c r="BD7" s="1">
        <v>0</v>
      </c>
      <c r="BE7" s="1">
        <v>2840</v>
      </c>
      <c r="BF7" s="1">
        <v>36430</v>
      </c>
      <c r="BG7" s="1">
        <v>70.60078</v>
      </c>
      <c r="BH7" s="1">
        <v>131</v>
      </c>
      <c r="BI7" s="1">
        <v>0.25387599999999999</v>
      </c>
      <c r="BJ7" s="1">
        <v>1386</v>
      </c>
      <c r="BK7" s="1">
        <v>2.6860469999999999</v>
      </c>
      <c r="BL7" s="1">
        <v>0</v>
      </c>
      <c r="BM7" s="1">
        <v>27</v>
      </c>
      <c r="BN7" s="1">
        <v>12</v>
      </c>
      <c r="BO7" s="1">
        <v>184.80269999999999</v>
      </c>
      <c r="BP7" s="1">
        <v>0</v>
      </c>
      <c r="BQ7" s="1"/>
      <c r="BR7" s="1"/>
      <c r="BS7" s="1"/>
      <c r="BT7" s="1"/>
      <c r="BU7" s="1" t="s">
        <v>190</v>
      </c>
      <c r="BV7" s="1" t="str">
        <f t="shared" si="3"/>
        <v>02-OK ST C260696850</v>
      </c>
      <c r="BW7" s="7" t="str">
        <f t="shared" si="0"/>
        <v>2nd batch</v>
      </c>
      <c r="BX7" s="8" t="str">
        <f t="shared" si="1"/>
        <v>&gt;=500kg</v>
      </c>
      <c r="BY7" t="str">
        <f>IF(OR(IFERROR(VLOOKUP(J7,[1]NC!$L:$L,1,0),0)&lt;&gt;0,BQ7&gt;0),"NG","OK")</f>
        <v>OK</v>
      </c>
      <c r="BZ7" s="7" t="str">
        <f t="shared" si="2"/>
        <v>C260696871</v>
      </c>
      <c r="CA7" t="str">
        <f>IF(OR(IFERROR(VLOOKUP(BZ7,[2]DG!$H:$H,1,0),0)&lt;&gt;0,IFERROR(VLOOKUP(J7,[1]NC!$L:$L,1,0),0)&lt;&gt;0),"Rework",IF(BQ7&gt;0,"Adjustment","OK"))</f>
        <v>OK</v>
      </c>
    </row>
    <row r="8" spans="1:79">
      <c r="A8" s="1" t="s">
        <v>95</v>
      </c>
      <c r="B8" s="10" t="s">
        <v>96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120</v>
      </c>
      <c r="H8" s="1" t="s">
        <v>195</v>
      </c>
      <c r="I8" s="1" t="s">
        <v>154</v>
      </c>
      <c r="J8" s="1" t="s">
        <v>196</v>
      </c>
      <c r="K8" s="1" t="s">
        <v>197</v>
      </c>
      <c r="L8" s="1" t="s">
        <v>106</v>
      </c>
      <c r="M8" s="1" t="s">
        <v>198</v>
      </c>
      <c r="N8" s="1" t="s">
        <v>11</v>
      </c>
      <c r="O8" s="1">
        <v>0</v>
      </c>
      <c r="P8" s="1">
        <v>1170.55</v>
      </c>
      <c r="Q8" s="1" t="s">
        <v>108</v>
      </c>
      <c r="R8" s="1" t="s">
        <v>109</v>
      </c>
      <c r="S8" s="1">
        <v>6</v>
      </c>
      <c r="T8" s="1">
        <v>7023.3</v>
      </c>
      <c r="U8" s="1">
        <v>0</v>
      </c>
      <c r="V8" s="1">
        <v>0</v>
      </c>
      <c r="W8" s="1">
        <v>300</v>
      </c>
      <c r="X8" s="1">
        <v>1200</v>
      </c>
      <c r="Y8" s="1">
        <v>0</v>
      </c>
      <c r="Z8" s="1">
        <v>2.2999999999999998</v>
      </c>
      <c r="AA8" s="1">
        <v>40</v>
      </c>
      <c r="AB8" s="1" t="s">
        <v>199</v>
      </c>
      <c r="AC8" s="1"/>
      <c r="AD8" s="1"/>
      <c r="AE8" s="1" t="s">
        <v>13</v>
      </c>
      <c r="AF8" s="1" t="s">
        <v>200</v>
      </c>
      <c r="AG8" s="1" t="s">
        <v>201</v>
      </c>
      <c r="AH8" s="1" t="s">
        <v>191</v>
      </c>
      <c r="AI8" s="1" t="s">
        <v>202</v>
      </c>
      <c r="AJ8" s="1"/>
      <c r="AK8" s="1"/>
      <c r="AL8" s="1"/>
      <c r="AM8" s="1" t="s">
        <v>203</v>
      </c>
      <c r="AN8" s="1"/>
      <c r="AO8" s="1">
        <v>46299.678275462997</v>
      </c>
      <c r="AP8" s="1">
        <v>46300.245231481502</v>
      </c>
      <c r="AQ8" s="42">
        <v>46300.592523148101</v>
      </c>
      <c r="AR8" s="1">
        <v>30006</v>
      </c>
      <c r="AS8" s="1">
        <v>49860</v>
      </c>
      <c r="AT8" s="1">
        <v>106</v>
      </c>
      <c r="AU8" s="1">
        <v>908</v>
      </c>
      <c r="AV8" s="1">
        <v>0</v>
      </c>
      <c r="AW8" s="1">
        <v>18</v>
      </c>
      <c r="AX8" s="1">
        <v>0</v>
      </c>
      <c r="AY8" s="1">
        <v>0</v>
      </c>
      <c r="AZ8" s="1">
        <v>-19854</v>
      </c>
      <c r="BA8" s="1">
        <v>60.1805054151625</v>
      </c>
      <c r="BB8" s="1">
        <v>41530</v>
      </c>
      <c r="BC8" s="1">
        <v>0</v>
      </c>
      <c r="BD8" s="1">
        <v>0</v>
      </c>
      <c r="BE8" s="1">
        <v>0</v>
      </c>
      <c r="BF8" s="1">
        <v>41530</v>
      </c>
      <c r="BG8" s="1">
        <v>35.479050000000001</v>
      </c>
      <c r="BH8" s="1">
        <v>125</v>
      </c>
      <c r="BI8" s="1">
        <v>0.1067874</v>
      </c>
      <c r="BJ8" s="1">
        <v>2001</v>
      </c>
      <c r="BK8" s="1">
        <v>1.7094529999999999</v>
      </c>
      <c r="BL8" s="1">
        <v>0</v>
      </c>
      <c r="BM8" s="1">
        <v>32</v>
      </c>
      <c r="BN8" s="1">
        <v>17</v>
      </c>
      <c r="BO8" s="1">
        <v>0</v>
      </c>
      <c r="BP8" s="1">
        <v>0</v>
      </c>
      <c r="BQ8" s="1"/>
      <c r="BR8" s="1"/>
      <c r="BS8" s="1"/>
      <c r="BT8" s="1"/>
      <c r="BU8" s="1" t="s">
        <v>204</v>
      </c>
      <c r="BV8" s="1" t="str">
        <f t="shared" si="3"/>
        <v>09-OK ST C260698870/C260698850</v>
      </c>
      <c r="BW8" s="7" t="str">
        <f t="shared" si="0"/>
        <v>bulk to bulk</v>
      </c>
      <c r="BX8" s="8" t="str">
        <f t="shared" si="1"/>
        <v>&gt;=500kg</v>
      </c>
      <c r="BY8" t="str">
        <f>IF(OR(IFERROR(VLOOKUP(J8,[1]NC!$L:$L,1,0),0)&lt;&gt;0,BQ8&gt;0),"NG","OK")</f>
        <v>OK</v>
      </c>
      <c r="BZ8" s="7" t="str">
        <f t="shared" si="2"/>
        <v>C260698911</v>
      </c>
      <c r="CA8" t="str">
        <f>IF(OR(IFERROR(VLOOKUP(BZ8,[2]DG!$H:$H,1,0),0)&lt;&gt;0,IFERROR(VLOOKUP(J8,[1]NC!$L:$L,1,0),0)&lt;&gt;0),"Rework",IF(BQ8&gt;0,"Adjustment","OK"))</f>
        <v>OK</v>
      </c>
    </row>
    <row r="9" spans="1:79">
      <c r="A9" s="1" t="s">
        <v>95</v>
      </c>
      <c r="B9" s="14" t="s">
        <v>96</v>
      </c>
      <c r="C9" s="1" t="s">
        <v>205</v>
      </c>
      <c r="D9" s="1" t="s">
        <v>206</v>
      </c>
      <c r="E9" s="1" t="s">
        <v>207</v>
      </c>
      <c r="F9" s="1" t="s">
        <v>208</v>
      </c>
      <c r="G9" s="1" t="s">
        <v>209</v>
      </c>
      <c r="H9" s="1" t="s">
        <v>210</v>
      </c>
      <c r="I9" s="1" t="s">
        <v>103</v>
      </c>
      <c r="J9" s="1" t="s">
        <v>211</v>
      </c>
      <c r="K9" s="1" t="s">
        <v>212</v>
      </c>
      <c r="L9" s="1" t="s">
        <v>106</v>
      </c>
      <c r="M9" s="1" t="s">
        <v>140</v>
      </c>
      <c r="N9" s="1" t="s">
        <v>11</v>
      </c>
      <c r="O9" s="1">
        <v>0</v>
      </c>
      <c r="P9" s="1">
        <v>493</v>
      </c>
      <c r="Q9" s="1" t="s">
        <v>108</v>
      </c>
      <c r="R9" s="1" t="s">
        <v>109</v>
      </c>
      <c r="S9" s="1">
        <v>6.5</v>
      </c>
      <c r="T9" s="1">
        <v>3204.5</v>
      </c>
      <c r="U9" s="1">
        <v>0</v>
      </c>
      <c r="V9" s="1">
        <v>0</v>
      </c>
      <c r="W9" s="1">
        <v>300</v>
      </c>
      <c r="X9" s="1">
        <v>1200</v>
      </c>
      <c r="Y9" s="1">
        <v>0</v>
      </c>
      <c r="Z9" s="1">
        <v>1.8</v>
      </c>
      <c r="AA9" s="1">
        <v>40</v>
      </c>
      <c r="AB9" s="1" t="s">
        <v>213</v>
      </c>
      <c r="AC9" s="1"/>
      <c r="AD9" s="1"/>
      <c r="AE9" s="1" t="s">
        <v>14</v>
      </c>
      <c r="AF9" s="1" t="s">
        <v>214</v>
      </c>
      <c r="AG9" s="1" t="s">
        <v>215</v>
      </c>
      <c r="AH9" s="1" t="s">
        <v>205</v>
      </c>
      <c r="AI9" s="1" t="s">
        <v>216</v>
      </c>
      <c r="AJ9" s="1"/>
      <c r="AK9" s="1"/>
      <c r="AL9" s="1"/>
      <c r="AM9" s="1" t="s">
        <v>217</v>
      </c>
      <c r="AN9" s="1"/>
      <c r="AO9" s="1">
        <v>46300.124074074098</v>
      </c>
      <c r="AP9" s="1">
        <v>46300.130590277797</v>
      </c>
      <c r="AQ9" s="42">
        <v>46300.592835648102</v>
      </c>
      <c r="AR9" s="1">
        <v>39938</v>
      </c>
      <c r="AS9" s="1">
        <v>83280</v>
      </c>
      <c r="AT9" s="1">
        <v>291</v>
      </c>
      <c r="AU9" s="1">
        <v>3235</v>
      </c>
      <c r="AV9" s="1">
        <v>0</v>
      </c>
      <c r="AW9" s="1">
        <v>31</v>
      </c>
      <c r="AX9" s="1">
        <v>0</v>
      </c>
      <c r="AY9" s="1">
        <v>0</v>
      </c>
      <c r="AZ9" s="1">
        <v>-43342</v>
      </c>
      <c r="BA9" s="1">
        <v>47.956292026897202</v>
      </c>
      <c r="BB9" s="1">
        <v>3980</v>
      </c>
      <c r="BC9" s="1">
        <v>11540</v>
      </c>
      <c r="BD9" s="1">
        <v>0</v>
      </c>
      <c r="BE9" s="1">
        <v>3220</v>
      </c>
      <c r="BF9" s="1">
        <v>18740</v>
      </c>
      <c r="BG9" s="1">
        <v>38.012169999999998</v>
      </c>
      <c r="BH9" s="1">
        <v>134</v>
      </c>
      <c r="BI9" s="1">
        <v>0.27180530000000003</v>
      </c>
      <c r="BJ9" s="1">
        <v>768</v>
      </c>
      <c r="BK9" s="1">
        <v>1.557809</v>
      </c>
      <c r="BL9" s="1">
        <v>0</v>
      </c>
      <c r="BM9" s="1">
        <v>43</v>
      </c>
      <c r="BN9" s="1">
        <v>14</v>
      </c>
      <c r="BO9" s="1">
        <v>98.460440000000006</v>
      </c>
      <c r="BP9" s="1">
        <v>0</v>
      </c>
      <c r="BQ9" s="1"/>
      <c r="BR9" s="1"/>
      <c r="BS9" s="1"/>
      <c r="BT9" s="1"/>
      <c r="BU9" s="1" t="s">
        <v>218</v>
      </c>
      <c r="BV9" s="1" t="str">
        <f t="shared" si="3"/>
        <v>08-OK ST C260706420 (MA)</v>
      </c>
      <c r="BW9" s="7" t="str">
        <f t="shared" si="0"/>
        <v>bulk to bulk</v>
      </c>
      <c r="BX9" s="8" t="str">
        <f t="shared" si="1"/>
        <v>&gt;=500kg</v>
      </c>
      <c r="BY9" t="str">
        <f>IF(OR(IFERROR(VLOOKUP(J9,[1]NC!$L:$L,1,0),0)&lt;&gt;0,BQ9&gt;0),"NG","OK")</f>
        <v>OK</v>
      </c>
      <c r="BZ9" s="7" t="str">
        <f t="shared" si="2"/>
        <v>C260708101</v>
      </c>
      <c r="CA9" t="str">
        <f>IF(OR(IFERROR(VLOOKUP(BZ9,[2]DG!$H:$H,1,0),0)&lt;&gt;0,IFERROR(VLOOKUP(J9,[1]NC!$L:$L,1,0),0)&lt;&gt;0),"Rework",IF(BQ9&gt;0,"Adjustment","OK"))</f>
        <v>OK</v>
      </c>
    </row>
    <row r="10" spans="1:79">
      <c r="A10" s="1" t="s">
        <v>95</v>
      </c>
      <c r="B10" s="15" t="s">
        <v>96</v>
      </c>
      <c r="C10" s="1" t="s">
        <v>219</v>
      </c>
      <c r="D10" s="1" t="s">
        <v>220</v>
      </c>
      <c r="E10" s="1" t="s">
        <v>221</v>
      </c>
      <c r="F10" s="1" t="s">
        <v>222</v>
      </c>
      <c r="G10" s="1" t="s">
        <v>120</v>
      </c>
      <c r="H10" s="1" t="s">
        <v>223</v>
      </c>
      <c r="I10" s="1" t="s">
        <v>103</v>
      </c>
      <c r="J10" s="1" t="s">
        <v>224</v>
      </c>
      <c r="K10" s="1" t="s">
        <v>225</v>
      </c>
      <c r="L10" s="1" t="s">
        <v>106</v>
      </c>
      <c r="M10" s="1" t="s">
        <v>184</v>
      </c>
      <c r="N10" s="1" t="s">
        <v>11</v>
      </c>
      <c r="O10" s="1">
        <v>0</v>
      </c>
      <c r="P10" s="1">
        <v>517</v>
      </c>
      <c r="Q10" s="1" t="s">
        <v>108</v>
      </c>
      <c r="R10" s="1" t="s">
        <v>109</v>
      </c>
      <c r="S10" s="1">
        <v>5.5</v>
      </c>
      <c r="T10" s="1">
        <v>2843.5</v>
      </c>
      <c r="U10" s="1">
        <v>0</v>
      </c>
      <c r="V10" s="1">
        <v>0</v>
      </c>
      <c r="W10" s="1">
        <v>300</v>
      </c>
      <c r="X10" s="1">
        <v>1200</v>
      </c>
      <c r="Y10" s="1">
        <v>0</v>
      </c>
      <c r="Z10" s="1">
        <v>2</v>
      </c>
      <c r="AA10" s="1">
        <v>40</v>
      </c>
      <c r="AB10" s="1" t="s">
        <v>226</v>
      </c>
      <c r="AC10" s="1"/>
      <c r="AD10" s="1"/>
      <c r="AE10" s="1" t="s">
        <v>14</v>
      </c>
      <c r="AF10" s="1" t="s">
        <v>227</v>
      </c>
      <c r="AG10" s="1" t="s">
        <v>228</v>
      </c>
      <c r="AH10" s="1" t="s">
        <v>219</v>
      </c>
      <c r="AI10" s="1" t="s">
        <v>229</v>
      </c>
      <c r="AJ10" s="1" t="s">
        <v>230</v>
      </c>
      <c r="AK10" s="1"/>
      <c r="AL10" s="1"/>
      <c r="AM10" s="1" t="s">
        <v>231</v>
      </c>
      <c r="AN10" s="1"/>
      <c r="AO10" s="1">
        <v>46299.687245370398</v>
      </c>
      <c r="AP10" s="1">
        <v>46299.977037037002</v>
      </c>
      <c r="AQ10" s="42">
        <v>46300.607141203698</v>
      </c>
      <c r="AR10" s="1">
        <v>54441</v>
      </c>
      <c r="AS10" s="1">
        <v>77820</v>
      </c>
      <c r="AT10" s="1">
        <v>7</v>
      </c>
      <c r="AU10" s="1">
        <v>2003</v>
      </c>
      <c r="AV10" s="1">
        <v>0</v>
      </c>
      <c r="AW10" s="1">
        <v>20</v>
      </c>
      <c r="AX10" s="1">
        <v>0</v>
      </c>
      <c r="AY10" s="1">
        <v>0</v>
      </c>
      <c r="AZ10" s="1">
        <v>-23379</v>
      </c>
      <c r="BA10" s="1">
        <v>69.957594448727804</v>
      </c>
      <c r="BB10" s="1">
        <v>20670</v>
      </c>
      <c r="BC10" s="1">
        <v>3620</v>
      </c>
      <c r="BD10" s="1">
        <v>0</v>
      </c>
      <c r="BE10" s="1">
        <v>0</v>
      </c>
      <c r="BF10" s="1">
        <v>24290</v>
      </c>
      <c r="BG10" s="1">
        <v>46.982590000000002</v>
      </c>
      <c r="BH10" s="1">
        <v>122</v>
      </c>
      <c r="BI10" s="1">
        <v>0.23597679999999999</v>
      </c>
      <c r="BJ10" s="1">
        <v>1142</v>
      </c>
      <c r="BK10" s="1">
        <v>2.208898</v>
      </c>
      <c r="BL10" s="1">
        <v>0</v>
      </c>
      <c r="BM10" s="1">
        <v>18</v>
      </c>
      <c r="BN10" s="1">
        <v>17</v>
      </c>
      <c r="BO10" s="1">
        <v>0</v>
      </c>
      <c r="BP10" s="1">
        <v>0</v>
      </c>
      <c r="BQ10" s="1"/>
      <c r="BR10" s="1"/>
      <c r="BS10" s="1"/>
      <c r="BT10" s="1"/>
      <c r="BU10" s="1" t="s">
        <v>232</v>
      </c>
      <c r="BV10" s="1" t="str">
        <f t="shared" si="3"/>
        <v>*CHO SS0108-OK ST C260708220 (SUA PHAN LOAI)</v>
      </c>
      <c r="BW10" s="7" t="str">
        <f t="shared" si="0"/>
        <v>2nd batch</v>
      </c>
      <c r="BX10" s="8" t="str">
        <f t="shared" si="1"/>
        <v>&gt;=500kg</v>
      </c>
      <c r="BY10" t="str">
        <f>IF(OR(IFERROR(VLOOKUP(J10,[1]NC!$L:$L,1,0),0)&lt;&gt;0,BQ10&gt;0),"NG","OK")</f>
        <v>OK</v>
      </c>
      <c r="BZ10" s="7" t="str">
        <f t="shared" si="2"/>
        <v>C260708231</v>
      </c>
      <c r="CA10" t="str">
        <f>IF(OR(IFERROR(VLOOKUP(BZ10,[2]DG!$H:$H,1,0),0)&lt;&gt;0,IFERROR(VLOOKUP(J10,[1]NC!$L:$L,1,0),0)&lt;&gt;0),"Rework",IF(BQ10&gt;0,"Adjustment","OK"))</f>
        <v>OK</v>
      </c>
    </row>
    <row r="11" spans="1:79">
      <c r="A11" s="1" t="s">
        <v>132</v>
      </c>
      <c r="B11" s="16" t="s">
        <v>96</v>
      </c>
      <c r="C11" s="1" t="s">
        <v>233</v>
      </c>
      <c r="D11" s="1" t="s">
        <v>234</v>
      </c>
      <c r="E11" s="1" t="s">
        <v>235</v>
      </c>
      <c r="F11" s="1" t="s">
        <v>236</v>
      </c>
      <c r="G11" s="1" t="s">
        <v>209</v>
      </c>
      <c r="H11" s="1" t="s">
        <v>237</v>
      </c>
      <c r="I11" s="1" t="s">
        <v>238</v>
      </c>
      <c r="J11" s="1" t="s">
        <v>239</v>
      </c>
      <c r="K11" s="1" t="s">
        <v>240</v>
      </c>
      <c r="L11" s="1" t="s">
        <v>106</v>
      </c>
      <c r="M11" s="1" t="s">
        <v>241</v>
      </c>
      <c r="N11" s="1" t="s">
        <v>11</v>
      </c>
      <c r="O11" s="1">
        <v>0</v>
      </c>
      <c r="P11" s="1">
        <v>306.10000000000002</v>
      </c>
      <c r="Q11" s="1" t="s">
        <v>108</v>
      </c>
      <c r="R11" s="1" t="s">
        <v>109</v>
      </c>
      <c r="S11" s="1">
        <v>15.5</v>
      </c>
      <c r="T11" s="1">
        <v>4744.55</v>
      </c>
      <c r="U11" s="1">
        <v>0</v>
      </c>
      <c r="V11" s="1">
        <v>0</v>
      </c>
      <c r="W11" s="1">
        <v>200</v>
      </c>
      <c r="X11" s="1">
        <v>1200</v>
      </c>
      <c r="Y11" s="1">
        <v>0</v>
      </c>
      <c r="Z11" s="1">
        <v>2.2999999999999998</v>
      </c>
      <c r="AA11" s="1">
        <v>40</v>
      </c>
      <c r="AB11" s="1" t="s">
        <v>242</v>
      </c>
      <c r="AC11" s="1"/>
      <c r="AD11" s="1"/>
      <c r="AE11" s="1" t="s">
        <v>15</v>
      </c>
      <c r="AF11" s="1" t="s">
        <v>243</v>
      </c>
      <c r="AG11" s="1" t="s">
        <v>244</v>
      </c>
      <c r="AH11" s="1" t="s">
        <v>233</v>
      </c>
      <c r="AI11" s="1" t="s">
        <v>144</v>
      </c>
      <c r="AJ11" s="1" t="s">
        <v>245</v>
      </c>
      <c r="AK11" s="1" t="s">
        <v>246</v>
      </c>
      <c r="AL11" s="1" t="s">
        <v>247</v>
      </c>
      <c r="AM11" s="1" t="s">
        <v>248</v>
      </c>
      <c r="AN11" s="1"/>
      <c r="AO11" s="1">
        <v>46299.163935185199</v>
      </c>
      <c r="AP11" s="1">
        <v>46299.392222222203</v>
      </c>
      <c r="AQ11" s="42">
        <v>46300.626296296301</v>
      </c>
      <c r="AR11" s="1">
        <v>106624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106624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51.037909999999997</v>
      </c>
      <c r="BP11" s="1">
        <v>0</v>
      </c>
      <c r="BQ11" s="1">
        <v>6</v>
      </c>
      <c r="BR11" s="1"/>
      <c r="BS11" s="1">
        <v>5</v>
      </c>
      <c r="BT11" s="1">
        <v>1</v>
      </c>
      <c r="BU11" s="1" t="s">
        <v>249</v>
      </c>
      <c r="BV11" s="1" t="str">
        <f t="shared" si="3"/>
        <v>---KT NHIET MAY1D-01, 2D-02, 3D-02, 4d-02/5C-01/6CD-0301-NG, FYR0047671, THE DAU, CAT 2Y VAI</v>
      </c>
      <c r="BW11" s="7" t="str">
        <f t="shared" si="0"/>
        <v>lab to bulk</v>
      </c>
      <c r="BX11" s="8" t="str">
        <f t="shared" si="1"/>
        <v>&gt;=500kg</v>
      </c>
      <c r="BY11" t="str">
        <f>IF(OR(IFERROR(VLOOKUP(J11,[1]NC!$L:$L,1,0),0)&lt;&gt;0,BQ11&gt;0),"NG","OK")</f>
        <v>NG</v>
      </c>
      <c r="BZ11" s="7" t="str">
        <f t="shared" si="2"/>
        <v>C260698121</v>
      </c>
      <c r="CA11" t="str">
        <f>IF(OR(IFERROR(VLOOKUP(BZ11,[2]DG!$H:$H,1,0),0)&lt;&gt;0,IFERROR(VLOOKUP(J11,[1]NC!$L:$L,1,0),0)&lt;&gt;0),"Rework",IF(BQ11&gt;0,"Adjustment","OK"))</f>
        <v>Adjustment</v>
      </c>
    </row>
    <row r="12" spans="1:79">
      <c r="A12" s="1" t="s">
        <v>132</v>
      </c>
      <c r="B12" s="17" t="s">
        <v>96</v>
      </c>
      <c r="C12" s="1" t="s">
        <v>250</v>
      </c>
      <c r="D12" s="1" t="s">
        <v>251</v>
      </c>
      <c r="E12" s="1" t="s">
        <v>252</v>
      </c>
      <c r="F12" s="1" t="s">
        <v>253</v>
      </c>
      <c r="G12" s="1" t="s">
        <v>101</v>
      </c>
      <c r="H12" s="1" t="s">
        <v>254</v>
      </c>
      <c r="I12" s="1" t="s">
        <v>255</v>
      </c>
      <c r="J12" s="1" t="s">
        <v>256</v>
      </c>
      <c r="K12" s="1" t="s">
        <v>257</v>
      </c>
      <c r="L12" s="1" t="s">
        <v>106</v>
      </c>
      <c r="M12" s="1" t="s">
        <v>241</v>
      </c>
      <c r="N12" s="1" t="s">
        <v>11</v>
      </c>
      <c r="O12" s="1">
        <v>1</v>
      </c>
      <c r="P12" s="1">
        <v>14</v>
      </c>
      <c r="Q12" s="1" t="s">
        <v>108</v>
      </c>
      <c r="R12" s="1" t="s">
        <v>109</v>
      </c>
      <c r="S12" s="1">
        <v>14.5</v>
      </c>
      <c r="T12" s="1">
        <v>203</v>
      </c>
      <c r="U12" s="1">
        <v>0</v>
      </c>
      <c r="V12" s="1">
        <v>0</v>
      </c>
      <c r="W12" s="1">
        <v>150</v>
      </c>
      <c r="X12" s="1">
        <v>800</v>
      </c>
      <c r="Y12" s="1">
        <v>0</v>
      </c>
      <c r="Z12" s="1">
        <v>1.8</v>
      </c>
      <c r="AA12" s="1">
        <v>30</v>
      </c>
      <c r="AB12" s="1" t="s">
        <v>258</v>
      </c>
      <c r="AC12" s="1"/>
      <c r="AD12" s="1"/>
      <c r="AE12" s="1" t="s">
        <v>15</v>
      </c>
      <c r="AF12" s="1" t="s">
        <v>259</v>
      </c>
      <c r="AG12" s="1" t="s">
        <v>260</v>
      </c>
      <c r="AH12" s="1" t="s">
        <v>250</v>
      </c>
      <c r="AI12" s="1" t="s">
        <v>144</v>
      </c>
      <c r="AJ12" s="1"/>
      <c r="AK12" s="1"/>
      <c r="AL12" s="1"/>
      <c r="AM12" s="1" t="s">
        <v>261</v>
      </c>
      <c r="AN12" s="1"/>
      <c r="AO12" s="1">
        <v>46298.824212963002</v>
      </c>
      <c r="AP12" s="1">
        <v>46300.318703703699</v>
      </c>
      <c r="AQ12" s="42">
        <v>46300.636041666701</v>
      </c>
      <c r="AR12" s="1">
        <v>27418</v>
      </c>
      <c r="AS12" s="1">
        <v>27900</v>
      </c>
      <c r="AT12" s="1">
        <v>0</v>
      </c>
      <c r="AU12" s="1">
        <v>652</v>
      </c>
      <c r="AV12" s="1">
        <v>0</v>
      </c>
      <c r="AW12" s="1">
        <v>7</v>
      </c>
      <c r="AX12" s="1">
        <v>0</v>
      </c>
      <c r="AY12" s="1">
        <v>0</v>
      </c>
      <c r="AZ12" s="1">
        <v>-482</v>
      </c>
      <c r="BA12" s="1">
        <v>98.272401433691797</v>
      </c>
      <c r="BB12" s="1">
        <v>178</v>
      </c>
      <c r="BC12" s="1">
        <v>712</v>
      </c>
      <c r="BD12" s="1">
        <v>0</v>
      </c>
      <c r="BE12" s="1">
        <v>203</v>
      </c>
      <c r="BF12" s="1">
        <v>1093</v>
      </c>
      <c r="BG12" s="1">
        <v>78.071430000000007</v>
      </c>
      <c r="BH12" s="1">
        <v>10</v>
      </c>
      <c r="BI12" s="1">
        <v>0.71428570000000002</v>
      </c>
      <c r="BJ12" s="1">
        <v>0</v>
      </c>
      <c r="BK12" s="1">
        <v>0</v>
      </c>
      <c r="BL12" s="1">
        <v>0</v>
      </c>
      <c r="BM12" s="1">
        <v>12</v>
      </c>
      <c r="BN12" s="1">
        <v>6</v>
      </c>
      <c r="BO12" s="1">
        <v>2.858422</v>
      </c>
      <c r="BP12" s="1">
        <v>0</v>
      </c>
      <c r="BQ12" s="1"/>
      <c r="BR12" s="1"/>
      <c r="BS12" s="1"/>
      <c r="BT12" s="1"/>
      <c r="BU12" s="1" t="s">
        <v>262</v>
      </c>
      <c r="BV12" s="1" t="str">
        <f t="shared" si="3"/>
        <v>01-NG, FYR0048220</v>
      </c>
      <c r="BW12" s="7" t="str">
        <f t="shared" si="0"/>
        <v>lab to bulk</v>
      </c>
      <c r="BX12" s="8" t="str">
        <f t="shared" si="1"/>
        <v>Small Machine</v>
      </c>
      <c r="BY12" t="str">
        <f>IF(OR(IFERROR(VLOOKUP(J12,[1]NC!$L:$L,1,0),0)&lt;&gt;0,BQ12&gt;0),"NG","OK")</f>
        <v>NG</v>
      </c>
      <c r="BZ12" s="7" t="str">
        <f t="shared" si="2"/>
        <v>C260709441</v>
      </c>
      <c r="CA12" t="str">
        <f>IF(OR(IFERROR(VLOOKUP(BZ12,[2]DG!$H:$H,1,0),0)&lt;&gt;0,IFERROR(VLOOKUP(J12,[1]NC!$L:$L,1,0),0)&lt;&gt;0),"Rework",IF(BQ12&gt;0,"Adjustment","OK"))</f>
        <v>Rework</v>
      </c>
    </row>
    <row r="13" spans="1:79">
      <c r="A13" s="1" t="s">
        <v>263</v>
      </c>
      <c r="B13" s="18" t="s">
        <v>96</v>
      </c>
      <c r="C13" s="1" t="s">
        <v>264</v>
      </c>
      <c r="D13" s="1" t="s">
        <v>265</v>
      </c>
      <c r="E13" s="1" t="s">
        <v>266</v>
      </c>
      <c r="F13" s="1" t="s">
        <v>267</v>
      </c>
      <c r="G13" s="1" t="s">
        <v>101</v>
      </c>
      <c r="H13" s="1" t="s">
        <v>268</v>
      </c>
      <c r="I13" s="1" t="s">
        <v>269</v>
      </c>
      <c r="J13" s="1" t="s">
        <v>270</v>
      </c>
      <c r="K13" s="1" t="s">
        <v>257</v>
      </c>
      <c r="L13" s="1" t="s">
        <v>106</v>
      </c>
      <c r="M13" s="1" t="s">
        <v>140</v>
      </c>
      <c r="N13" s="1" t="s">
        <v>11</v>
      </c>
      <c r="O13" s="1">
        <v>0</v>
      </c>
      <c r="P13" s="1">
        <v>1126.0999999999999</v>
      </c>
      <c r="Q13" s="1" t="s">
        <v>108</v>
      </c>
      <c r="R13" s="1" t="s">
        <v>109</v>
      </c>
      <c r="S13" s="1">
        <v>11.5</v>
      </c>
      <c r="T13" s="1">
        <v>12950.15</v>
      </c>
      <c r="U13" s="1">
        <v>0</v>
      </c>
      <c r="V13" s="1">
        <v>0</v>
      </c>
      <c r="W13" s="1">
        <v>160</v>
      </c>
      <c r="X13" s="1">
        <v>1200</v>
      </c>
      <c r="Y13" s="1">
        <v>0</v>
      </c>
      <c r="Z13" s="1">
        <v>2.2999999999999998</v>
      </c>
      <c r="AA13" s="1">
        <v>40</v>
      </c>
      <c r="AB13" s="1" t="s">
        <v>271</v>
      </c>
      <c r="AC13" s="1"/>
      <c r="AD13" s="1"/>
      <c r="AE13" s="1" t="s">
        <v>15</v>
      </c>
      <c r="AF13" s="1" t="s">
        <v>272</v>
      </c>
      <c r="AG13" s="1" t="s">
        <v>273</v>
      </c>
      <c r="AH13" s="1" t="s">
        <v>264</v>
      </c>
      <c r="AI13" s="1" t="s">
        <v>144</v>
      </c>
      <c r="AJ13" s="1" t="s">
        <v>274</v>
      </c>
      <c r="AK13" s="1"/>
      <c r="AL13" s="1"/>
      <c r="AM13" s="1" t="s">
        <v>275</v>
      </c>
      <c r="AN13" s="1"/>
      <c r="AO13" s="1">
        <v>46300.209849537001</v>
      </c>
      <c r="AP13" s="1">
        <v>46300.327743055597</v>
      </c>
      <c r="AQ13" s="42">
        <v>46300.664236111101</v>
      </c>
      <c r="AR13" s="1">
        <v>29073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29073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976.64260000000002</v>
      </c>
      <c r="BP13" s="1">
        <v>0</v>
      </c>
      <c r="BQ13" s="1"/>
      <c r="BR13" s="1"/>
      <c r="BS13" s="1"/>
      <c r="BT13" s="1"/>
      <c r="BU13" s="1" t="s">
        <v>276</v>
      </c>
      <c r="BV13" s="1" t="str">
        <f t="shared" si="3"/>
        <v>*CHO XE RA VAI*08-OK ST C260695190 (MA)</v>
      </c>
      <c r="BW13" s="7" t="str">
        <f t="shared" si="0"/>
        <v>bulk to bulk</v>
      </c>
      <c r="BX13" s="8" t="str">
        <f t="shared" si="1"/>
        <v>&gt;=500kg</v>
      </c>
      <c r="BY13" t="str">
        <f>IF(OR(IFERROR(VLOOKUP(J13,[1]NC!$L:$L,1,0),0)&lt;&gt;0,BQ13&gt;0),"NG","OK")</f>
        <v>OK</v>
      </c>
      <c r="BZ13" s="7" t="str">
        <f t="shared" si="2"/>
        <v>C260715771</v>
      </c>
      <c r="CA13" t="str">
        <f>IF(OR(IFERROR(VLOOKUP(BZ13,[2]DG!$H:$H,1,0),0)&lt;&gt;0,IFERROR(VLOOKUP(J13,[1]NC!$L:$L,1,0),0)&lt;&gt;0),"Rework",IF(BQ13&gt;0,"Adjustment","OK"))</f>
        <v>OK</v>
      </c>
    </row>
    <row r="14" spans="1:79">
      <c r="A14" s="1" t="s">
        <v>95</v>
      </c>
      <c r="B14" s="14" t="s">
        <v>96</v>
      </c>
      <c r="C14" s="1" t="s">
        <v>277</v>
      </c>
      <c r="D14" s="1" t="s">
        <v>278</v>
      </c>
      <c r="E14" s="1" t="s">
        <v>279</v>
      </c>
      <c r="F14" s="1" t="s">
        <v>280</v>
      </c>
      <c r="G14" s="1" t="s">
        <v>101</v>
      </c>
      <c r="H14" s="1" t="s">
        <v>281</v>
      </c>
      <c r="I14" s="1" t="s">
        <v>282</v>
      </c>
      <c r="J14" s="1" t="s">
        <v>283</v>
      </c>
      <c r="K14" s="1" t="s">
        <v>284</v>
      </c>
      <c r="L14" s="1" t="s">
        <v>106</v>
      </c>
      <c r="M14" s="1" t="s">
        <v>124</v>
      </c>
      <c r="N14" s="1" t="s">
        <v>11</v>
      </c>
      <c r="O14" s="1">
        <v>0</v>
      </c>
      <c r="P14" s="1">
        <v>2177</v>
      </c>
      <c r="Q14" s="1" t="s">
        <v>108</v>
      </c>
      <c r="R14" s="1" t="s">
        <v>109</v>
      </c>
      <c r="S14" s="1">
        <v>5.5</v>
      </c>
      <c r="T14" s="1">
        <v>11973.5</v>
      </c>
      <c r="U14" s="1">
        <v>0</v>
      </c>
      <c r="V14" s="1">
        <v>0</v>
      </c>
      <c r="W14" s="1">
        <v>280</v>
      </c>
      <c r="X14" s="1">
        <v>1150</v>
      </c>
      <c r="Y14" s="1">
        <v>0</v>
      </c>
      <c r="Z14" s="1">
        <v>2.2999999999999998</v>
      </c>
      <c r="AA14" s="1">
        <v>30</v>
      </c>
      <c r="AB14" s="1" t="s">
        <v>285</v>
      </c>
      <c r="AC14" s="1"/>
      <c r="AD14" s="1"/>
      <c r="AE14" s="1" t="s">
        <v>13</v>
      </c>
      <c r="AF14" s="1" t="s">
        <v>286</v>
      </c>
      <c r="AG14" s="1" t="s">
        <v>287</v>
      </c>
      <c r="AH14" s="1" t="s">
        <v>277</v>
      </c>
      <c r="AI14" s="1" t="s">
        <v>202</v>
      </c>
      <c r="AJ14" s="1" t="s">
        <v>274</v>
      </c>
      <c r="AK14" s="1"/>
      <c r="AL14" s="1"/>
      <c r="AM14" s="1" t="s">
        <v>288</v>
      </c>
      <c r="AN14" s="1"/>
      <c r="AO14" s="1">
        <v>46299.521122685197</v>
      </c>
      <c r="AP14" s="1">
        <v>46300.0926736111</v>
      </c>
      <c r="AQ14" s="42">
        <v>46300.670127314799</v>
      </c>
      <c r="AR14" s="1">
        <v>49892</v>
      </c>
      <c r="AS14" s="1">
        <v>47820</v>
      </c>
      <c r="AT14" s="1">
        <v>1072</v>
      </c>
      <c r="AU14" s="1">
        <v>1782</v>
      </c>
      <c r="AV14" s="1">
        <v>0</v>
      </c>
      <c r="AW14" s="1">
        <v>7</v>
      </c>
      <c r="AX14" s="1">
        <v>0</v>
      </c>
      <c r="AY14" s="1">
        <v>0</v>
      </c>
      <c r="AZ14" s="1">
        <v>2072</v>
      </c>
      <c r="BA14" s="1">
        <v>104.332915098285</v>
      </c>
      <c r="BB14" s="1">
        <v>22910</v>
      </c>
      <c r="BC14" s="1">
        <v>34050</v>
      </c>
      <c r="BD14" s="1">
        <v>0</v>
      </c>
      <c r="BE14" s="1">
        <v>47320</v>
      </c>
      <c r="BF14" s="1">
        <v>104280</v>
      </c>
      <c r="BG14" s="1">
        <v>47.900779999999997</v>
      </c>
      <c r="BH14" s="1">
        <v>456.4</v>
      </c>
      <c r="BI14" s="1">
        <v>0.20964630000000001</v>
      </c>
      <c r="BJ14" s="1">
        <v>2578</v>
      </c>
      <c r="BK14" s="1">
        <v>1.1841980000000001</v>
      </c>
      <c r="BL14" s="1">
        <v>0</v>
      </c>
      <c r="BM14" s="1">
        <v>34</v>
      </c>
      <c r="BN14" s="1">
        <v>7</v>
      </c>
      <c r="BO14" s="1">
        <v>60.088079999999998</v>
      </c>
      <c r="BP14" s="1">
        <v>0</v>
      </c>
      <c r="BQ14" s="1"/>
      <c r="BR14" s="1"/>
      <c r="BS14" s="1"/>
      <c r="BT14" s="1"/>
      <c r="BU14" s="1" t="s">
        <v>289</v>
      </c>
      <c r="BV14" s="1" t="str">
        <f t="shared" si="3"/>
        <v>*CHO XE RA VAI*06-NG # LOT SOI, GOP C260692240</v>
      </c>
      <c r="BW14" s="7" t="str">
        <f t="shared" si="0"/>
        <v>2nd batch</v>
      </c>
      <c r="BX14" s="8" t="str">
        <f t="shared" si="1"/>
        <v>&gt;=500kg</v>
      </c>
      <c r="BY14" t="str">
        <f>IF(OR(IFERROR(VLOOKUP(J14,[1]NC!$L:$L,1,0),0)&lt;&gt;0,BQ14&gt;0),"NG","OK")</f>
        <v>OK</v>
      </c>
      <c r="BZ14" s="7" t="str">
        <f t="shared" si="2"/>
        <v>C260692251</v>
      </c>
      <c r="CA14" t="str">
        <f>IF(OR(IFERROR(VLOOKUP(BZ14,[2]DG!$H:$H,1,0),0)&lt;&gt;0,IFERROR(VLOOKUP(J14,[1]NC!$L:$L,1,0),0)&lt;&gt;0),"Rework",IF(BQ14&gt;0,"Adjustment","OK"))</f>
        <v>OK</v>
      </c>
    </row>
    <row r="15" spans="1:79">
      <c r="A15" s="1" t="s">
        <v>132</v>
      </c>
      <c r="B15" s="10" t="s">
        <v>96</v>
      </c>
      <c r="C15" s="1" t="s">
        <v>290</v>
      </c>
      <c r="D15" s="1" t="s">
        <v>251</v>
      </c>
      <c r="E15" s="1" t="s">
        <v>291</v>
      </c>
      <c r="F15" s="1" t="s">
        <v>136</v>
      </c>
      <c r="G15" s="1" t="s">
        <v>120</v>
      </c>
      <c r="H15" s="1" t="s">
        <v>137</v>
      </c>
      <c r="I15" s="1" t="s">
        <v>103</v>
      </c>
      <c r="J15" s="1" t="s">
        <v>292</v>
      </c>
      <c r="K15" s="1" t="s">
        <v>293</v>
      </c>
      <c r="L15" s="1" t="s">
        <v>106</v>
      </c>
      <c r="M15" s="1" t="s">
        <v>241</v>
      </c>
      <c r="N15" s="1" t="s">
        <v>11</v>
      </c>
      <c r="O15" s="1">
        <v>0</v>
      </c>
      <c r="P15" s="1">
        <v>307.10000000000002</v>
      </c>
      <c r="Q15" s="1" t="s">
        <v>108</v>
      </c>
      <c r="R15" s="1" t="s">
        <v>109</v>
      </c>
      <c r="S15" s="1">
        <v>7</v>
      </c>
      <c r="T15" s="1">
        <v>2149.6999999999998</v>
      </c>
      <c r="U15" s="1">
        <v>0</v>
      </c>
      <c r="V15" s="1">
        <v>0</v>
      </c>
      <c r="W15" s="1">
        <v>280</v>
      </c>
      <c r="X15" s="1">
        <v>1150</v>
      </c>
      <c r="Y15" s="1">
        <v>0</v>
      </c>
      <c r="Z15" s="1">
        <v>1.8</v>
      </c>
      <c r="AA15" s="1">
        <v>60</v>
      </c>
      <c r="AB15" s="1" t="s">
        <v>294</v>
      </c>
      <c r="AC15" s="1"/>
      <c r="AD15" s="1"/>
      <c r="AE15" s="1" t="s">
        <v>15</v>
      </c>
      <c r="AF15" s="1" t="s">
        <v>142</v>
      </c>
      <c r="AG15" s="1" t="s">
        <v>295</v>
      </c>
      <c r="AH15" s="1" t="s">
        <v>290</v>
      </c>
      <c r="AI15" s="1" t="s">
        <v>144</v>
      </c>
      <c r="AJ15" s="1"/>
      <c r="AK15" s="1"/>
      <c r="AL15" s="1"/>
      <c r="AM15" s="1" t="s">
        <v>296</v>
      </c>
      <c r="AN15" s="1"/>
      <c r="AO15" s="1">
        <v>46300.327800925901</v>
      </c>
      <c r="AP15" s="1">
        <v>46300.494710648098</v>
      </c>
      <c r="AQ15" s="42">
        <v>46300.691319444399</v>
      </c>
      <c r="AR15" s="1">
        <v>16987</v>
      </c>
      <c r="AS15" s="1">
        <v>25080</v>
      </c>
      <c r="AT15" s="1">
        <v>18</v>
      </c>
      <c r="AU15" s="1">
        <v>858</v>
      </c>
      <c r="AV15" s="1">
        <v>0</v>
      </c>
      <c r="AW15" s="1">
        <v>27</v>
      </c>
      <c r="AX15" s="1">
        <v>0</v>
      </c>
      <c r="AY15" s="1">
        <v>0</v>
      </c>
      <c r="AZ15" s="1">
        <v>-8093</v>
      </c>
      <c r="BA15" s="1">
        <v>67.731259968102094</v>
      </c>
      <c r="BB15" s="1">
        <v>8030</v>
      </c>
      <c r="BC15" s="1">
        <v>0</v>
      </c>
      <c r="BD15" s="1">
        <v>0</v>
      </c>
      <c r="BE15" s="1">
        <v>0</v>
      </c>
      <c r="BF15" s="1">
        <v>8030</v>
      </c>
      <c r="BG15" s="1">
        <v>26.147829999999999</v>
      </c>
      <c r="BH15" s="1">
        <v>38</v>
      </c>
      <c r="BI15" s="1">
        <v>0.12373820000000001</v>
      </c>
      <c r="BJ15" s="1">
        <v>290</v>
      </c>
      <c r="BK15" s="1">
        <v>0.94431779999999998</v>
      </c>
      <c r="BL15" s="1">
        <v>0</v>
      </c>
      <c r="BM15" s="1">
        <v>17</v>
      </c>
      <c r="BN15" s="1">
        <v>17</v>
      </c>
      <c r="BO15" s="1">
        <v>0</v>
      </c>
      <c r="BP15" s="1">
        <v>0</v>
      </c>
      <c r="BQ15" s="1"/>
      <c r="BR15" s="1"/>
      <c r="BS15" s="1"/>
      <c r="BT15" s="1"/>
      <c r="BU15" s="1" t="s">
        <v>297</v>
      </c>
      <c r="BV15" s="1" t="str">
        <f t="shared" si="3"/>
        <v>01-NG, FYR0047327, THE DAU, CAT 2Y VAI</v>
      </c>
      <c r="BW15" s="7" t="str">
        <f t="shared" si="0"/>
        <v>lab to bulk</v>
      </c>
      <c r="BX15" s="8" t="str">
        <f t="shared" si="1"/>
        <v>&gt;=500kg</v>
      </c>
      <c r="BY15" t="str">
        <f>IF(OR(IFERROR(VLOOKUP(J15,[1]NC!$L:$L,1,0),0)&lt;&gt;0,BQ15&gt;0),"NG","OK")</f>
        <v>NG</v>
      </c>
      <c r="BZ15" s="7" t="str">
        <f t="shared" si="2"/>
        <v>C260701741</v>
      </c>
      <c r="CA15" t="str">
        <f>IF(OR(IFERROR(VLOOKUP(BZ15,[2]DG!$H:$H,1,0),0)&lt;&gt;0,IFERROR(VLOOKUP(J15,[1]NC!$L:$L,1,0),0)&lt;&gt;0),"Rework",IF(BQ15&gt;0,"Adjustment","OK"))</f>
        <v>Rework</v>
      </c>
    </row>
    <row r="16" spans="1:79">
      <c r="A16" s="1" t="s">
        <v>95</v>
      </c>
      <c r="B16" s="10" t="s">
        <v>96</v>
      </c>
      <c r="C16" s="1" t="s">
        <v>277</v>
      </c>
      <c r="D16" s="1" t="s">
        <v>278</v>
      </c>
      <c r="E16" s="1" t="s">
        <v>298</v>
      </c>
      <c r="F16" s="1" t="s">
        <v>299</v>
      </c>
      <c r="G16" s="1" t="s">
        <v>120</v>
      </c>
      <c r="H16" s="1" t="s">
        <v>300</v>
      </c>
      <c r="I16" s="1" t="s">
        <v>282</v>
      </c>
      <c r="J16" s="1" t="s">
        <v>301</v>
      </c>
      <c r="K16" s="1" t="s">
        <v>302</v>
      </c>
      <c r="L16" s="1" t="s">
        <v>106</v>
      </c>
      <c r="M16" s="1" t="s">
        <v>124</v>
      </c>
      <c r="N16" s="1" t="s">
        <v>11</v>
      </c>
      <c r="O16" s="1">
        <v>0</v>
      </c>
      <c r="P16" s="1">
        <v>2098.6</v>
      </c>
      <c r="Q16" s="1" t="s">
        <v>108</v>
      </c>
      <c r="R16" s="1" t="s">
        <v>109</v>
      </c>
      <c r="S16" s="1">
        <v>6</v>
      </c>
      <c r="T16" s="1">
        <v>12591.6</v>
      </c>
      <c r="U16" s="1">
        <v>0</v>
      </c>
      <c r="V16" s="1">
        <v>0</v>
      </c>
      <c r="W16" s="1">
        <v>280</v>
      </c>
      <c r="X16" s="1">
        <v>1150</v>
      </c>
      <c r="Y16" s="1">
        <v>0</v>
      </c>
      <c r="Z16" s="1">
        <v>2.2999999999999998</v>
      </c>
      <c r="AA16" s="1">
        <v>30</v>
      </c>
      <c r="AB16" s="1" t="s">
        <v>303</v>
      </c>
      <c r="AC16" s="1"/>
      <c r="AD16" s="1"/>
      <c r="AE16" s="1" t="s">
        <v>13</v>
      </c>
      <c r="AF16" s="1" t="s">
        <v>304</v>
      </c>
      <c r="AG16" s="1" t="s">
        <v>305</v>
      </c>
      <c r="AH16" s="1" t="s">
        <v>277</v>
      </c>
      <c r="AI16" s="1" t="s">
        <v>202</v>
      </c>
      <c r="AJ16" s="1"/>
      <c r="AK16" s="1"/>
      <c r="AL16" s="1" t="s">
        <v>306</v>
      </c>
      <c r="AM16" s="1" t="s">
        <v>307</v>
      </c>
      <c r="AN16" s="1"/>
      <c r="AO16" s="1">
        <v>46300.211585648103</v>
      </c>
      <c r="AP16" s="1">
        <v>46300.303773148102</v>
      </c>
      <c r="AQ16" s="42">
        <v>46300.704884259299</v>
      </c>
      <c r="AR16" s="1">
        <v>34656</v>
      </c>
      <c r="AS16" s="1">
        <v>32880</v>
      </c>
      <c r="AT16" s="1">
        <v>153</v>
      </c>
      <c r="AU16" s="1">
        <v>1466</v>
      </c>
      <c r="AV16" s="1">
        <v>0</v>
      </c>
      <c r="AW16" s="1">
        <v>144</v>
      </c>
      <c r="AX16" s="1">
        <v>0</v>
      </c>
      <c r="AY16" s="1">
        <v>0</v>
      </c>
      <c r="AZ16" s="1">
        <v>1776</v>
      </c>
      <c r="BA16" s="1">
        <v>105.401459854015</v>
      </c>
      <c r="BB16" s="1">
        <v>44070</v>
      </c>
      <c r="BC16" s="1">
        <v>0</v>
      </c>
      <c r="BD16" s="1">
        <v>0</v>
      </c>
      <c r="BE16" s="1">
        <v>34000</v>
      </c>
      <c r="BF16" s="1">
        <v>78070</v>
      </c>
      <c r="BG16" s="1">
        <v>37.200989999999997</v>
      </c>
      <c r="BH16" s="1">
        <v>322.39999999999998</v>
      </c>
      <c r="BI16" s="1">
        <v>0.15362619999999999</v>
      </c>
      <c r="BJ16" s="1">
        <v>0</v>
      </c>
      <c r="BK16" s="1">
        <v>0</v>
      </c>
      <c r="BL16" s="1">
        <v>0</v>
      </c>
      <c r="BM16" s="1">
        <v>31</v>
      </c>
      <c r="BN16" s="1">
        <v>15</v>
      </c>
      <c r="BO16" s="1">
        <v>0</v>
      </c>
      <c r="BP16" s="1">
        <v>0</v>
      </c>
      <c r="BQ16" s="1"/>
      <c r="BR16" s="1"/>
      <c r="BS16" s="1"/>
      <c r="BT16" s="1"/>
      <c r="BU16" s="1" t="s">
        <v>308</v>
      </c>
      <c r="BV16" s="1" t="str">
        <f t="shared" si="3"/>
        <v>CBA 1G/L TRONG NHUOM06-NG, GOP# LOT SOI C260691740, CAT VAI 2 THE XEM MAU</v>
      </c>
      <c r="BW16" s="7" t="str">
        <f t="shared" si="0"/>
        <v>2nd batch</v>
      </c>
      <c r="BX16" s="8" t="str">
        <f t="shared" si="1"/>
        <v>&gt;=500kg</v>
      </c>
      <c r="BY16" t="str">
        <f>IF(OR(IFERROR(VLOOKUP(J16,[1]NC!$L:$L,1,0),0)&lt;&gt;0,BQ16&gt;0),"NG","OK")</f>
        <v>OK</v>
      </c>
      <c r="BZ16" s="7" t="str">
        <f t="shared" si="2"/>
        <v>C260691761</v>
      </c>
      <c r="CA16" t="str">
        <f>IF(OR(IFERROR(VLOOKUP(BZ16,[2]DG!$H:$H,1,0),0)&lt;&gt;0,IFERROR(VLOOKUP(J16,[1]NC!$L:$L,1,0),0)&lt;&gt;0),"Rework",IF(BQ16&gt;0,"Adjustment","OK"))</f>
        <v>OK</v>
      </c>
    </row>
    <row r="17" spans="1:79">
      <c r="A17" s="1" t="s">
        <v>95</v>
      </c>
      <c r="B17" s="19" t="s">
        <v>96</v>
      </c>
      <c r="C17" s="1" t="s">
        <v>309</v>
      </c>
      <c r="D17" s="1" t="s">
        <v>310</v>
      </c>
      <c r="E17" s="1" t="s">
        <v>311</v>
      </c>
      <c r="F17" s="1" t="s">
        <v>312</v>
      </c>
      <c r="G17" s="1" t="s">
        <v>209</v>
      </c>
      <c r="H17" s="1" t="s">
        <v>313</v>
      </c>
      <c r="I17" s="1" t="s">
        <v>314</v>
      </c>
      <c r="J17" s="1" t="s">
        <v>315</v>
      </c>
      <c r="K17" s="1" t="s">
        <v>316</v>
      </c>
      <c r="L17" s="1" t="s">
        <v>106</v>
      </c>
      <c r="M17" s="1" t="s">
        <v>107</v>
      </c>
      <c r="N17" s="1" t="s">
        <v>12</v>
      </c>
      <c r="O17" s="1">
        <v>1</v>
      </c>
      <c r="P17" s="1">
        <v>193</v>
      </c>
      <c r="Q17" s="1" t="s">
        <v>108</v>
      </c>
      <c r="R17" s="1" t="s">
        <v>109</v>
      </c>
      <c r="S17" s="1">
        <v>6.5</v>
      </c>
      <c r="T17" s="1">
        <v>1254.5</v>
      </c>
      <c r="U17" s="1">
        <v>0</v>
      </c>
      <c r="V17" s="1">
        <v>0</v>
      </c>
      <c r="W17" s="1">
        <v>280</v>
      </c>
      <c r="X17" s="1">
        <v>1000</v>
      </c>
      <c r="Y17" s="1">
        <v>0</v>
      </c>
      <c r="Z17" s="1">
        <v>2</v>
      </c>
      <c r="AA17" s="1">
        <v>30</v>
      </c>
      <c r="AB17" s="1" t="s">
        <v>317</v>
      </c>
      <c r="AC17" s="1"/>
      <c r="AD17" s="1"/>
      <c r="AE17" s="1" t="s">
        <v>13</v>
      </c>
      <c r="AF17" s="1" t="s">
        <v>318</v>
      </c>
      <c r="AG17" s="1" t="s">
        <v>319</v>
      </c>
      <c r="AH17" s="1" t="s">
        <v>309</v>
      </c>
      <c r="AI17" s="1" t="s">
        <v>202</v>
      </c>
      <c r="AJ17" s="1"/>
      <c r="AK17" s="1" t="s">
        <v>320</v>
      </c>
      <c r="AL17" s="1"/>
      <c r="AM17" s="1" t="s">
        <v>175</v>
      </c>
      <c r="AN17" s="1"/>
      <c r="AO17" s="1">
        <v>46299.157291666699</v>
      </c>
      <c r="AP17" s="1">
        <v>46300.356574074103</v>
      </c>
      <c r="AQ17" s="42">
        <v>46300.710567129601</v>
      </c>
      <c r="AR17" s="1">
        <v>30585</v>
      </c>
      <c r="AS17" s="1">
        <v>39540</v>
      </c>
      <c r="AT17" s="1">
        <v>0</v>
      </c>
      <c r="AU17" s="1">
        <v>1153</v>
      </c>
      <c r="AV17" s="1">
        <v>0</v>
      </c>
      <c r="AW17" s="1">
        <v>3</v>
      </c>
      <c r="AX17" s="1">
        <v>0</v>
      </c>
      <c r="AY17" s="1">
        <v>0</v>
      </c>
      <c r="AZ17" s="1">
        <v>-8955</v>
      </c>
      <c r="BA17" s="1">
        <v>77.352048558421899</v>
      </c>
      <c r="BB17" s="1">
        <v>5270</v>
      </c>
      <c r="BC17" s="1">
        <v>2610</v>
      </c>
      <c r="BD17" s="1">
        <v>0</v>
      </c>
      <c r="BE17" s="1">
        <v>1260</v>
      </c>
      <c r="BF17" s="1">
        <v>9140</v>
      </c>
      <c r="BG17" s="1">
        <v>47.357509999999998</v>
      </c>
      <c r="BH17" s="1">
        <v>48</v>
      </c>
      <c r="BI17" s="1">
        <v>0.2487047</v>
      </c>
      <c r="BJ17" s="1">
        <v>155</v>
      </c>
      <c r="BK17" s="1">
        <v>0.80310879999999996</v>
      </c>
      <c r="BL17" s="1">
        <v>0</v>
      </c>
      <c r="BM17" s="1">
        <v>11</v>
      </c>
      <c r="BN17" s="1">
        <v>4</v>
      </c>
      <c r="BO17" s="1">
        <v>13.46467</v>
      </c>
      <c r="BP17" s="1">
        <v>0</v>
      </c>
      <c r="BQ17" s="1"/>
      <c r="BR17" s="1"/>
      <c r="BS17" s="1"/>
      <c r="BT17" s="1"/>
      <c r="BU17" s="1" t="s">
        <v>321</v>
      </c>
      <c r="BV17" s="1" t="str">
        <f t="shared" si="3"/>
        <v>VAI TRONG MAY ,TINH LUYEN OK CHO NHUOM R03-NG, THE DAU, CAT 2Y VAI</v>
      </c>
      <c r="BW17" s="7" t="str">
        <f t="shared" si="0"/>
        <v>2nd batch</v>
      </c>
      <c r="BX17" s="8" t="str">
        <f t="shared" si="1"/>
        <v>Small Machine</v>
      </c>
      <c r="BY17" t="str">
        <f>IF(OR(IFERROR(VLOOKUP(J17,[1]NC!$L:$L,1,0),0)&lt;&gt;0,BQ17&gt;0),"NG","OK")</f>
        <v>OK</v>
      </c>
      <c r="BZ17" s="7" t="str">
        <f t="shared" si="2"/>
        <v>C260712941</v>
      </c>
      <c r="CA17" t="str">
        <f>IF(OR(IFERROR(VLOOKUP(BZ17,[2]DG!$H:$H,1,0),0)&lt;&gt;0,IFERROR(VLOOKUP(J17,[1]NC!$L:$L,1,0),0)&lt;&gt;0),"Rework",IF(BQ17&gt;0,"Adjustment","OK"))</f>
        <v>OK</v>
      </c>
    </row>
    <row r="18" spans="1:79">
      <c r="A18" s="1" t="s">
        <v>132</v>
      </c>
      <c r="B18" s="10" t="s">
        <v>96</v>
      </c>
      <c r="C18" s="1" t="s">
        <v>322</v>
      </c>
      <c r="D18" s="1" t="s">
        <v>323</v>
      </c>
      <c r="E18" s="1" t="s">
        <v>324</v>
      </c>
      <c r="F18" s="1" t="s">
        <v>136</v>
      </c>
      <c r="G18" s="1" t="s">
        <v>120</v>
      </c>
      <c r="H18" s="1" t="s">
        <v>325</v>
      </c>
      <c r="I18" s="1" t="s">
        <v>314</v>
      </c>
      <c r="J18" s="1" t="s">
        <v>326</v>
      </c>
      <c r="K18" s="1" t="s">
        <v>293</v>
      </c>
      <c r="L18" s="1" t="s">
        <v>106</v>
      </c>
      <c r="M18" s="1" t="s">
        <v>124</v>
      </c>
      <c r="N18" s="1" t="s">
        <v>11</v>
      </c>
      <c r="O18" s="1">
        <v>0</v>
      </c>
      <c r="P18" s="1">
        <v>159</v>
      </c>
      <c r="Q18" s="1" t="s">
        <v>108</v>
      </c>
      <c r="R18" s="1" t="s">
        <v>109</v>
      </c>
      <c r="S18" s="1">
        <v>7.5</v>
      </c>
      <c r="T18" s="1">
        <v>1192.5</v>
      </c>
      <c r="U18" s="1">
        <v>0</v>
      </c>
      <c r="V18" s="1">
        <v>0</v>
      </c>
      <c r="W18" s="1">
        <v>280</v>
      </c>
      <c r="X18" s="1">
        <v>1100</v>
      </c>
      <c r="Y18" s="1">
        <v>0</v>
      </c>
      <c r="Z18" s="1">
        <v>1.8</v>
      </c>
      <c r="AA18" s="1">
        <v>30</v>
      </c>
      <c r="AB18" s="1" t="s">
        <v>327</v>
      </c>
      <c r="AC18" s="1"/>
      <c r="AD18" s="1"/>
      <c r="AE18" s="1" t="s">
        <v>15</v>
      </c>
      <c r="AF18" s="1" t="s">
        <v>142</v>
      </c>
      <c r="AG18" s="1" t="s">
        <v>328</v>
      </c>
      <c r="AH18" s="1" t="s">
        <v>322</v>
      </c>
      <c r="AI18" s="1" t="s">
        <v>144</v>
      </c>
      <c r="AJ18" s="1"/>
      <c r="AK18" s="1" t="s">
        <v>230</v>
      </c>
      <c r="AL18" s="1"/>
      <c r="AM18" s="1" t="s">
        <v>329</v>
      </c>
      <c r="AN18" s="1"/>
      <c r="AO18" s="1">
        <v>46300.493587962999</v>
      </c>
      <c r="AP18" s="1">
        <v>46300.537905092599</v>
      </c>
      <c r="AQ18" s="42">
        <v>46300.744675925896</v>
      </c>
      <c r="AR18" s="1">
        <v>17865</v>
      </c>
      <c r="AS18" s="1">
        <v>25080</v>
      </c>
      <c r="AT18" s="1">
        <v>6</v>
      </c>
      <c r="AU18" s="1">
        <v>1441</v>
      </c>
      <c r="AV18" s="1">
        <v>0</v>
      </c>
      <c r="AW18" s="1">
        <v>18</v>
      </c>
      <c r="AX18" s="1">
        <v>0</v>
      </c>
      <c r="AY18" s="1">
        <v>0</v>
      </c>
      <c r="AZ18" s="1">
        <v>-7215</v>
      </c>
      <c r="BA18" s="1">
        <v>71.232057416268006</v>
      </c>
      <c r="BB18" s="1">
        <v>3930</v>
      </c>
      <c r="BC18" s="1">
        <v>0</v>
      </c>
      <c r="BD18" s="1">
        <v>0</v>
      </c>
      <c r="BE18" s="1">
        <v>0</v>
      </c>
      <c r="BF18" s="1">
        <v>3930</v>
      </c>
      <c r="BG18" s="1">
        <v>24.71698</v>
      </c>
      <c r="BH18" s="1">
        <v>28</v>
      </c>
      <c r="BI18" s="1">
        <v>0.1761006</v>
      </c>
      <c r="BJ18" s="1">
        <v>171</v>
      </c>
      <c r="BK18" s="1">
        <v>1.075472</v>
      </c>
      <c r="BL18" s="1">
        <v>0</v>
      </c>
      <c r="BM18" s="1">
        <v>13</v>
      </c>
      <c r="BN18" s="1">
        <v>4</v>
      </c>
      <c r="BO18" s="1">
        <v>0</v>
      </c>
      <c r="BP18" s="1">
        <v>0</v>
      </c>
      <c r="BQ18" s="1"/>
      <c r="BR18" s="1"/>
      <c r="BS18" s="1"/>
      <c r="BT18" s="1"/>
      <c r="BU18" s="1" t="s">
        <v>330</v>
      </c>
      <c r="BV18" s="1" t="str">
        <f t="shared" si="3"/>
        <v>*CHO SS0106-NG, KHAC BON</v>
      </c>
      <c r="BW18" s="7" t="str">
        <f t="shared" si="0"/>
        <v>2nd batch</v>
      </c>
      <c r="BX18" s="8" t="str">
        <f t="shared" si="1"/>
        <v>Small Machine</v>
      </c>
      <c r="BY18" t="str">
        <f>IF(OR(IFERROR(VLOOKUP(J18,[1]NC!$L:$L,1,0),0)&lt;&gt;0,BQ18&gt;0),"NG","OK")</f>
        <v>OK</v>
      </c>
      <c r="BZ18" s="7" t="str">
        <f t="shared" si="2"/>
        <v>C260713581</v>
      </c>
      <c r="CA18" t="str">
        <f>IF(OR(IFERROR(VLOOKUP(BZ18,[2]DG!$H:$H,1,0),0)&lt;&gt;0,IFERROR(VLOOKUP(J18,[1]NC!$L:$L,1,0),0)&lt;&gt;0),"Rework",IF(BQ18&gt;0,"Adjustment","OK"))</f>
        <v>OK</v>
      </c>
    </row>
    <row r="19" spans="1:79">
      <c r="A19" s="1" t="s">
        <v>95</v>
      </c>
      <c r="B19" s="20" t="s">
        <v>96</v>
      </c>
      <c r="C19" s="1" t="s">
        <v>331</v>
      </c>
      <c r="D19" s="1" t="s">
        <v>220</v>
      </c>
      <c r="E19" s="1" t="s">
        <v>332</v>
      </c>
      <c r="F19" s="1" t="s">
        <v>333</v>
      </c>
      <c r="G19" s="1" t="s">
        <v>120</v>
      </c>
      <c r="H19" s="1" t="s">
        <v>334</v>
      </c>
      <c r="I19" s="1" t="s">
        <v>103</v>
      </c>
      <c r="J19" s="1" t="s">
        <v>335</v>
      </c>
      <c r="K19" s="1" t="s">
        <v>225</v>
      </c>
      <c r="L19" s="1" t="s">
        <v>106</v>
      </c>
      <c r="M19" s="1" t="s">
        <v>140</v>
      </c>
      <c r="N19" s="1" t="s">
        <v>11</v>
      </c>
      <c r="O19" s="1">
        <v>0</v>
      </c>
      <c r="P19" s="1">
        <v>531</v>
      </c>
      <c r="Q19" s="1" t="s">
        <v>108</v>
      </c>
      <c r="R19" s="1" t="s">
        <v>109</v>
      </c>
      <c r="S19" s="1">
        <v>5.5</v>
      </c>
      <c r="T19" s="1">
        <v>2920.5</v>
      </c>
      <c r="U19" s="1">
        <v>0</v>
      </c>
      <c r="V19" s="1">
        <v>0</v>
      </c>
      <c r="W19" s="1">
        <v>300</v>
      </c>
      <c r="X19" s="1">
        <v>1200</v>
      </c>
      <c r="Y19" s="1">
        <v>0</v>
      </c>
      <c r="Z19" s="1">
        <v>2</v>
      </c>
      <c r="AA19" s="1">
        <v>40</v>
      </c>
      <c r="AB19" s="1" t="s">
        <v>336</v>
      </c>
      <c r="AC19" s="1"/>
      <c r="AD19" s="1"/>
      <c r="AE19" s="1" t="s">
        <v>14</v>
      </c>
      <c r="AF19" s="1" t="s">
        <v>337</v>
      </c>
      <c r="AG19" s="1" t="s">
        <v>338</v>
      </c>
      <c r="AH19" s="1" t="s">
        <v>331</v>
      </c>
      <c r="AI19" s="1" t="s">
        <v>229</v>
      </c>
      <c r="AJ19" s="1" t="s">
        <v>274</v>
      </c>
      <c r="AK19" s="1"/>
      <c r="AL19" s="1"/>
      <c r="AM19" s="1" t="s">
        <v>339</v>
      </c>
      <c r="AN19" s="1"/>
      <c r="AO19" s="1">
        <v>46299.937986111101</v>
      </c>
      <c r="AP19" s="1">
        <v>46300.049965277802</v>
      </c>
      <c r="AQ19" s="42">
        <v>46300.753958333298</v>
      </c>
      <c r="AR19" s="1">
        <v>60825</v>
      </c>
      <c r="AS19" s="1">
        <v>77820</v>
      </c>
      <c r="AT19" s="1">
        <v>0</v>
      </c>
      <c r="AU19" s="1">
        <v>3597</v>
      </c>
      <c r="AV19" s="1">
        <v>0</v>
      </c>
      <c r="AW19" s="1">
        <v>7</v>
      </c>
      <c r="AX19" s="1">
        <v>0</v>
      </c>
      <c r="AY19" s="1">
        <v>0</v>
      </c>
      <c r="AZ19" s="1">
        <v>-16995</v>
      </c>
      <c r="BA19" s="1">
        <v>78.161141094834207</v>
      </c>
      <c r="BB19" s="1">
        <v>21230</v>
      </c>
      <c r="BC19" s="1">
        <v>3720</v>
      </c>
      <c r="BD19" s="1">
        <v>0</v>
      </c>
      <c r="BE19" s="1">
        <v>0</v>
      </c>
      <c r="BF19" s="1">
        <v>24950</v>
      </c>
      <c r="BG19" s="1">
        <v>46.986820000000002</v>
      </c>
      <c r="BH19" s="1">
        <v>138</v>
      </c>
      <c r="BI19" s="1">
        <v>0.25988699999999998</v>
      </c>
      <c r="BJ19" s="1">
        <v>1148</v>
      </c>
      <c r="BK19" s="1">
        <v>2.1619579999999998</v>
      </c>
      <c r="BL19" s="1">
        <v>0</v>
      </c>
      <c r="BM19" s="1">
        <v>31</v>
      </c>
      <c r="BN19" s="1">
        <v>6</v>
      </c>
      <c r="BO19" s="1">
        <v>16.083939999999998</v>
      </c>
      <c r="BP19" s="1">
        <v>0</v>
      </c>
      <c r="BQ19" s="1"/>
      <c r="BR19" s="1"/>
      <c r="BS19" s="1"/>
      <c r="BT19" s="1"/>
      <c r="BU19" s="1" t="s">
        <v>340</v>
      </c>
      <c r="BV19" s="1" t="str">
        <f t="shared" si="3"/>
        <v>*CHO XE RA VAI*08-OK ST C260696970</v>
      </c>
      <c r="BW19" s="7" t="str">
        <f t="shared" si="0"/>
        <v>bulk to bulk</v>
      </c>
      <c r="BX19" s="8" t="str">
        <f t="shared" si="1"/>
        <v>&gt;=500kg</v>
      </c>
      <c r="BY19" t="str">
        <f>IF(OR(IFERROR(VLOOKUP(J19,[1]NC!$L:$L,1,0),0)&lt;&gt;0,BQ19&gt;0),"NG","OK")</f>
        <v>OK</v>
      </c>
      <c r="BZ19" s="7" t="str">
        <f t="shared" si="2"/>
        <v>C260697021</v>
      </c>
      <c r="CA19" t="str">
        <f>IF(OR(IFERROR(VLOOKUP(BZ19,[2]DG!$H:$H,1,0),0)&lt;&gt;0,IFERROR(VLOOKUP(J19,[1]NC!$L:$L,1,0),0)&lt;&gt;0),"Rework",IF(BQ19&gt;0,"Adjustment","OK"))</f>
        <v>OK</v>
      </c>
    </row>
    <row r="20" spans="1:79">
      <c r="A20" s="1" t="s">
        <v>95</v>
      </c>
      <c r="B20" s="21" t="s">
        <v>96</v>
      </c>
      <c r="C20" s="1" t="s">
        <v>341</v>
      </c>
      <c r="D20" s="1" t="s">
        <v>342</v>
      </c>
      <c r="E20" s="1" t="s">
        <v>343</v>
      </c>
      <c r="F20" s="1" t="s">
        <v>344</v>
      </c>
      <c r="G20" s="1" t="s">
        <v>120</v>
      </c>
      <c r="H20" s="1" t="s">
        <v>345</v>
      </c>
      <c r="I20" s="1" t="s">
        <v>154</v>
      </c>
      <c r="J20" s="1" t="s">
        <v>346</v>
      </c>
      <c r="K20" s="1" t="s">
        <v>347</v>
      </c>
      <c r="L20" s="1" t="s">
        <v>106</v>
      </c>
      <c r="M20" s="1" t="s">
        <v>107</v>
      </c>
      <c r="N20" s="1" t="s">
        <v>11</v>
      </c>
      <c r="O20" s="1">
        <v>0</v>
      </c>
      <c r="P20" s="1">
        <v>688.4</v>
      </c>
      <c r="Q20" s="1" t="s">
        <v>108</v>
      </c>
      <c r="R20" s="1" t="s">
        <v>109</v>
      </c>
      <c r="S20" s="1">
        <v>6</v>
      </c>
      <c r="T20" s="1">
        <v>4130.3999999999996</v>
      </c>
      <c r="U20" s="1">
        <v>0</v>
      </c>
      <c r="V20" s="1">
        <v>0</v>
      </c>
      <c r="W20" s="1">
        <v>260</v>
      </c>
      <c r="X20" s="1">
        <v>80</v>
      </c>
      <c r="Y20" s="1">
        <v>0</v>
      </c>
      <c r="Z20" s="1">
        <v>2</v>
      </c>
      <c r="AA20" s="1">
        <v>40</v>
      </c>
      <c r="AB20" s="1" t="s">
        <v>348</v>
      </c>
      <c r="AC20" s="1"/>
      <c r="AD20" s="1"/>
      <c r="AE20" s="1" t="s">
        <v>14</v>
      </c>
      <c r="AF20" s="1" t="s">
        <v>349</v>
      </c>
      <c r="AG20" s="1" t="s">
        <v>350</v>
      </c>
      <c r="AH20" s="1" t="s">
        <v>341</v>
      </c>
      <c r="AI20" s="1" t="s">
        <v>351</v>
      </c>
      <c r="AJ20" s="1" t="s">
        <v>274</v>
      </c>
      <c r="AK20" s="1"/>
      <c r="AL20" s="1"/>
      <c r="AM20" s="1" t="s">
        <v>352</v>
      </c>
      <c r="AN20" s="1"/>
      <c r="AO20" s="1">
        <v>46299.803506944401</v>
      </c>
      <c r="AP20" s="1">
        <v>46300.035567129598</v>
      </c>
      <c r="AQ20" s="42">
        <v>46300.755289351902</v>
      </c>
      <c r="AR20" s="1">
        <v>62184</v>
      </c>
      <c r="AS20" s="1">
        <v>91020</v>
      </c>
      <c r="AT20" s="1">
        <v>273</v>
      </c>
      <c r="AU20" s="1">
        <v>1226</v>
      </c>
      <c r="AV20" s="1">
        <v>0</v>
      </c>
      <c r="AW20" s="1">
        <v>39</v>
      </c>
      <c r="AX20" s="1">
        <v>0</v>
      </c>
      <c r="AY20" s="1">
        <v>0</v>
      </c>
      <c r="AZ20" s="1">
        <v>-28836</v>
      </c>
      <c r="BA20" s="1">
        <v>68.319050758075207</v>
      </c>
      <c r="BB20" s="1">
        <v>32354</v>
      </c>
      <c r="BC20" s="1">
        <v>549.5</v>
      </c>
      <c r="BD20" s="1">
        <v>0</v>
      </c>
      <c r="BE20" s="1">
        <v>38242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35</v>
      </c>
      <c r="BN20" s="1">
        <v>22</v>
      </c>
      <c r="BO20" s="1">
        <v>0</v>
      </c>
      <c r="BP20" s="1">
        <v>0</v>
      </c>
      <c r="BQ20" s="1"/>
      <c r="BR20" s="1"/>
      <c r="BS20" s="1"/>
      <c r="BT20" s="1"/>
      <c r="BU20" s="1" t="s">
        <v>353</v>
      </c>
      <c r="BV20" s="1" t="str">
        <f t="shared" si="3"/>
        <v>*CHO XE RA VAI*03-NG, GOP C260712970, THE DAU, CAT 2Y VAI</v>
      </c>
      <c r="BW20" s="7" t="str">
        <f t="shared" si="0"/>
        <v>2nd batch</v>
      </c>
      <c r="BX20" s="8" t="str">
        <f t="shared" si="1"/>
        <v>&gt;=500kg</v>
      </c>
      <c r="BY20" t="str">
        <f>IF(OR(IFERROR(VLOOKUP(J20,[1]NC!$L:$L,1,0),0)&lt;&gt;0,BQ20&gt;0),"NG","OK")</f>
        <v>OK</v>
      </c>
      <c r="BZ20" s="7" t="str">
        <f t="shared" si="2"/>
        <v>C260712981</v>
      </c>
      <c r="CA20" t="str">
        <f>IF(OR(IFERROR(VLOOKUP(BZ20,[2]DG!$H:$H,1,0),0)&lt;&gt;0,IFERROR(VLOOKUP(J20,[1]NC!$L:$L,1,0),0)&lt;&gt;0),"Rework",IF(BQ20&gt;0,"Adjustment","OK"))</f>
        <v>OK</v>
      </c>
    </row>
    <row r="21" spans="1:79">
      <c r="A21" s="1" t="s">
        <v>95</v>
      </c>
      <c r="B21" s="22" t="s">
        <v>96</v>
      </c>
      <c r="C21" s="1" t="s">
        <v>354</v>
      </c>
      <c r="D21" s="1" t="s">
        <v>355</v>
      </c>
      <c r="E21" s="1" t="s">
        <v>356</v>
      </c>
      <c r="F21" s="1" t="s">
        <v>357</v>
      </c>
      <c r="G21" s="1" t="s">
        <v>101</v>
      </c>
      <c r="H21" s="1" t="s">
        <v>358</v>
      </c>
      <c r="I21" s="1" t="s">
        <v>103</v>
      </c>
      <c r="J21" s="1" t="s">
        <v>359</v>
      </c>
      <c r="K21" s="1" t="s">
        <v>360</v>
      </c>
      <c r="L21" s="1" t="s">
        <v>106</v>
      </c>
      <c r="M21" s="1" t="s">
        <v>140</v>
      </c>
      <c r="N21" s="1" t="s">
        <v>11</v>
      </c>
      <c r="O21" s="1">
        <v>0</v>
      </c>
      <c r="P21" s="1">
        <v>589</v>
      </c>
      <c r="Q21" s="1" t="s">
        <v>108</v>
      </c>
      <c r="R21" s="1" t="s">
        <v>109</v>
      </c>
      <c r="S21" s="1">
        <v>5</v>
      </c>
      <c r="T21" s="1">
        <v>2945</v>
      </c>
      <c r="U21" s="1">
        <v>0</v>
      </c>
      <c r="V21" s="1">
        <v>0</v>
      </c>
      <c r="W21" s="1">
        <v>300</v>
      </c>
      <c r="X21" s="1">
        <v>1200</v>
      </c>
      <c r="Y21" s="1">
        <v>0</v>
      </c>
      <c r="Z21" s="1">
        <v>2.2999999999999998</v>
      </c>
      <c r="AA21" s="1">
        <v>40</v>
      </c>
      <c r="AB21" s="1" t="s">
        <v>361</v>
      </c>
      <c r="AC21" s="1"/>
      <c r="AD21" s="1"/>
      <c r="AE21" s="1" t="s">
        <v>13</v>
      </c>
      <c r="AF21" s="1" t="s">
        <v>362</v>
      </c>
      <c r="AG21" s="1" t="s">
        <v>363</v>
      </c>
      <c r="AH21" s="1" t="s">
        <v>354</v>
      </c>
      <c r="AI21" s="1" t="s">
        <v>202</v>
      </c>
      <c r="AJ21" s="1" t="s">
        <v>274</v>
      </c>
      <c r="AK21" s="1"/>
      <c r="AL21" s="1"/>
      <c r="AM21" s="1" t="s">
        <v>364</v>
      </c>
      <c r="AN21" s="1"/>
      <c r="AO21" s="1">
        <v>46299.942650463003</v>
      </c>
      <c r="AP21" s="1">
        <v>46300.208090277803</v>
      </c>
      <c r="AQ21" s="42">
        <v>46300.758298611101</v>
      </c>
      <c r="AR21" s="1">
        <v>47538</v>
      </c>
      <c r="AS21" s="1">
        <v>77520</v>
      </c>
      <c r="AT21" s="1">
        <v>115</v>
      </c>
      <c r="AU21" s="1">
        <v>2246</v>
      </c>
      <c r="AV21" s="1">
        <v>0</v>
      </c>
      <c r="AW21" s="1">
        <v>43</v>
      </c>
      <c r="AX21" s="1">
        <v>0</v>
      </c>
      <c r="AY21" s="1">
        <v>0</v>
      </c>
      <c r="AZ21" s="1">
        <v>-29982</v>
      </c>
      <c r="BA21" s="1">
        <v>61.323529411764703</v>
      </c>
      <c r="BB21" s="1">
        <v>15020</v>
      </c>
      <c r="BC21" s="1">
        <v>12720</v>
      </c>
      <c r="BD21" s="1">
        <v>0</v>
      </c>
      <c r="BE21" s="1">
        <v>0</v>
      </c>
      <c r="BF21" s="1">
        <v>27740</v>
      </c>
      <c r="BG21" s="1">
        <v>47.096780000000003</v>
      </c>
      <c r="BH21" s="1">
        <v>104</v>
      </c>
      <c r="BI21" s="1">
        <v>0.17657049999999999</v>
      </c>
      <c r="BJ21" s="1">
        <v>711</v>
      </c>
      <c r="BK21" s="1">
        <v>1.207131</v>
      </c>
      <c r="BL21" s="1">
        <v>0</v>
      </c>
      <c r="BM21" s="1">
        <v>16</v>
      </c>
      <c r="BN21" s="1">
        <v>5</v>
      </c>
      <c r="BO21" s="1">
        <v>198.56229999999999</v>
      </c>
      <c r="BP21" s="1">
        <v>0</v>
      </c>
      <c r="BQ21" s="1"/>
      <c r="BR21" s="1"/>
      <c r="BS21" s="1"/>
      <c r="BT21" s="1"/>
      <c r="BU21" s="1" t="s">
        <v>365</v>
      </c>
      <c r="BV21" s="1" t="str">
        <f t="shared" si="3"/>
        <v>*CHO XE RA VAI*08-OK ST C260649510</v>
      </c>
      <c r="BW21" s="7" t="str">
        <f t="shared" si="0"/>
        <v>bulk to bulk</v>
      </c>
      <c r="BX21" s="8" t="str">
        <f t="shared" si="1"/>
        <v>&gt;=500kg</v>
      </c>
      <c r="BY21" t="str">
        <f>IF(OR(IFERROR(VLOOKUP(J21,[1]NC!$L:$L,1,0),0)&lt;&gt;0,BQ21&gt;0),"NG","OK")</f>
        <v>OK</v>
      </c>
      <c r="BZ21" s="7" t="str">
        <f t="shared" si="2"/>
        <v>C260716761</v>
      </c>
      <c r="CA21" t="str">
        <f>IF(OR(IFERROR(VLOOKUP(BZ21,[2]DG!$H:$H,1,0),0)&lt;&gt;0,IFERROR(VLOOKUP(J21,[1]NC!$L:$L,1,0),0)&lt;&gt;0),"Rework",IF(BQ21&gt;0,"Adjustment","OK"))</f>
        <v>OK</v>
      </c>
    </row>
    <row r="22" spans="1:79">
      <c r="A22" s="1" t="s">
        <v>95</v>
      </c>
      <c r="B22" s="23" t="s">
        <v>96</v>
      </c>
      <c r="C22" s="1" t="s">
        <v>366</v>
      </c>
      <c r="D22" s="1" t="s">
        <v>192</v>
      </c>
      <c r="E22" s="1" t="s">
        <v>367</v>
      </c>
      <c r="F22" s="1" t="s">
        <v>368</v>
      </c>
      <c r="G22" s="1" t="s">
        <v>120</v>
      </c>
      <c r="H22" s="1" t="s">
        <v>369</v>
      </c>
      <c r="I22" s="1" t="s">
        <v>154</v>
      </c>
      <c r="J22" s="1" t="s">
        <v>370</v>
      </c>
      <c r="K22" s="1" t="s">
        <v>371</v>
      </c>
      <c r="L22" s="1" t="s">
        <v>106</v>
      </c>
      <c r="M22" s="1" t="s">
        <v>124</v>
      </c>
      <c r="N22" s="1" t="s">
        <v>11</v>
      </c>
      <c r="O22" s="1">
        <v>0</v>
      </c>
      <c r="P22" s="1">
        <v>963</v>
      </c>
      <c r="Q22" s="1" t="s">
        <v>108</v>
      </c>
      <c r="R22" s="1" t="s">
        <v>109</v>
      </c>
      <c r="S22" s="1">
        <v>5.5</v>
      </c>
      <c r="T22" s="1">
        <v>5296.5</v>
      </c>
      <c r="U22" s="1">
        <v>0</v>
      </c>
      <c r="V22" s="1">
        <v>0</v>
      </c>
      <c r="W22" s="1">
        <v>300</v>
      </c>
      <c r="X22" s="1">
        <v>1200</v>
      </c>
      <c r="Y22" s="1">
        <v>0</v>
      </c>
      <c r="Z22" s="1">
        <v>2.2999999999999998</v>
      </c>
      <c r="AA22" s="1">
        <v>40</v>
      </c>
      <c r="AB22" s="1" t="s">
        <v>372</v>
      </c>
      <c r="AC22" s="1"/>
      <c r="AD22" s="1"/>
      <c r="AE22" s="1" t="s">
        <v>13</v>
      </c>
      <c r="AF22" s="1" t="s">
        <v>373</v>
      </c>
      <c r="AG22" s="1" t="s">
        <v>374</v>
      </c>
      <c r="AH22" s="1" t="s">
        <v>366</v>
      </c>
      <c r="AI22" s="1" t="s">
        <v>202</v>
      </c>
      <c r="AJ22" s="1"/>
      <c r="AK22" s="1"/>
      <c r="AL22" s="1"/>
      <c r="AM22" s="1" t="s">
        <v>375</v>
      </c>
      <c r="AN22" s="1"/>
      <c r="AO22" s="1">
        <v>46299.940439814804</v>
      </c>
      <c r="AP22" s="1">
        <v>46300.289074074099</v>
      </c>
      <c r="AQ22" s="42">
        <v>46300.764166666697</v>
      </c>
      <c r="AR22" s="1">
        <v>41048</v>
      </c>
      <c r="AS22" s="1">
        <v>61140</v>
      </c>
      <c r="AT22" s="1">
        <v>9</v>
      </c>
      <c r="AU22" s="1">
        <v>1862</v>
      </c>
      <c r="AV22" s="1">
        <v>0</v>
      </c>
      <c r="AW22" s="1">
        <v>40</v>
      </c>
      <c r="AX22" s="1">
        <v>0</v>
      </c>
      <c r="AY22" s="1">
        <v>0</v>
      </c>
      <c r="AZ22" s="1">
        <v>-20092</v>
      </c>
      <c r="BA22" s="1">
        <v>67.137716715734399</v>
      </c>
      <c r="BB22" s="1">
        <v>20880</v>
      </c>
      <c r="BC22" s="1">
        <v>12320</v>
      </c>
      <c r="BD22" s="1">
        <v>0</v>
      </c>
      <c r="BE22" s="1">
        <v>5260</v>
      </c>
      <c r="BF22" s="1">
        <v>38460</v>
      </c>
      <c r="BG22" s="1">
        <v>39.937690000000003</v>
      </c>
      <c r="BH22" s="1">
        <v>183</v>
      </c>
      <c r="BI22" s="1">
        <v>0.19003120000000001</v>
      </c>
      <c r="BJ22" s="1">
        <v>961</v>
      </c>
      <c r="BK22" s="1">
        <v>0.99792309999999995</v>
      </c>
      <c r="BL22" s="1">
        <v>0</v>
      </c>
      <c r="BM22" s="1">
        <v>10</v>
      </c>
      <c r="BN22" s="1">
        <v>10</v>
      </c>
      <c r="BO22" s="1">
        <v>0</v>
      </c>
      <c r="BP22" s="1">
        <v>0</v>
      </c>
      <c r="BQ22" s="1"/>
      <c r="BR22" s="1"/>
      <c r="BS22" s="1"/>
      <c r="BT22" s="1"/>
      <c r="BU22" s="1" t="s">
        <v>376</v>
      </c>
      <c r="BV22" s="1" t="str">
        <f t="shared" si="3"/>
        <v>06-NG, GOP#LOT C260712540, CAT VAI 2 THE XEM MAU</v>
      </c>
      <c r="BW22" s="7" t="str">
        <f t="shared" si="0"/>
        <v>2nd batch</v>
      </c>
      <c r="BX22" s="8" t="str">
        <f t="shared" si="1"/>
        <v>&gt;=500kg</v>
      </c>
      <c r="BY22" t="str">
        <f>IF(OR(IFERROR(VLOOKUP(J22,[1]NC!$L:$L,1,0),0)&lt;&gt;0,BQ22&gt;0),"NG","OK")</f>
        <v>OK</v>
      </c>
      <c r="BZ22" s="7" t="str">
        <f t="shared" si="2"/>
        <v>C260712531</v>
      </c>
      <c r="CA22" t="str">
        <f>IF(OR(IFERROR(VLOOKUP(BZ22,[2]DG!$H:$H,1,0),0)&lt;&gt;0,IFERROR(VLOOKUP(J22,[1]NC!$L:$L,1,0),0)&lt;&gt;0),"Rework",IF(BQ22&gt;0,"Adjustment","OK"))</f>
        <v>OK</v>
      </c>
    </row>
    <row r="23" spans="1:79">
      <c r="A23" s="1" t="s">
        <v>95</v>
      </c>
      <c r="B23" s="15" t="s">
        <v>96</v>
      </c>
      <c r="C23" s="1" t="s">
        <v>341</v>
      </c>
      <c r="D23" s="1" t="s">
        <v>342</v>
      </c>
      <c r="E23" s="1" t="s">
        <v>377</v>
      </c>
      <c r="F23" s="1" t="s">
        <v>222</v>
      </c>
      <c r="G23" s="1" t="s">
        <v>120</v>
      </c>
      <c r="H23" s="1" t="s">
        <v>378</v>
      </c>
      <c r="I23" s="1" t="s">
        <v>154</v>
      </c>
      <c r="J23" s="1" t="s">
        <v>379</v>
      </c>
      <c r="K23" s="1" t="s">
        <v>347</v>
      </c>
      <c r="L23" s="1" t="s">
        <v>106</v>
      </c>
      <c r="M23" s="1" t="s">
        <v>124</v>
      </c>
      <c r="N23" s="1" t="s">
        <v>11</v>
      </c>
      <c r="O23" s="1">
        <v>0</v>
      </c>
      <c r="P23" s="1">
        <v>701</v>
      </c>
      <c r="Q23" s="1" t="s">
        <v>108</v>
      </c>
      <c r="R23" s="1" t="s">
        <v>109</v>
      </c>
      <c r="S23" s="1">
        <v>6.5</v>
      </c>
      <c r="T23" s="1">
        <v>4556.5</v>
      </c>
      <c r="U23" s="1">
        <v>40</v>
      </c>
      <c r="V23" s="1">
        <v>0</v>
      </c>
      <c r="W23" s="1">
        <v>220</v>
      </c>
      <c r="X23" s="1">
        <v>1250</v>
      </c>
      <c r="Y23" s="1">
        <v>0</v>
      </c>
      <c r="Z23" s="1">
        <v>2</v>
      </c>
      <c r="AA23" s="1">
        <v>40</v>
      </c>
      <c r="AB23" s="1" t="s">
        <v>380</v>
      </c>
      <c r="AC23" s="1"/>
      <c r="AD23" s="1"/>
      <c r="AE23" s="1" t="s">
        <v>14</v>
      </c>
      <c r="AF23" s="1" t="s">
        <v>381</v>
      </c>
      <c r="AG23" s="1" t="s">
        <v>382</v>
      </c>
      <c r="AH23" s="1" t="s">
        <v>341</v>
      </c>
      <c r="AI23" s="1" t="s">
        <v>351</v>
      </c>
      <c r="AJ23" s="1"/>
      <c r="AK23" s="1"/>
      <c r="AL23" s="1"/>
      <c r="AM23" s="1" t="s">
        <v>383</v>
      </c>
      <c r="AN23" s="1"/>
      <c r="AO23" s="1">
        <v>46299.803553240701</v>
      </c>
      <c r="AP23" s="1">
        <v>46300.039131944402</v>
      </c>
      <c r="AQ23" s="42">
        <v>46300.7713194444</v>
      </c>
      <c r="AR23" s="1">
        <v>63261</v>
      </c>
      <c r="AS23" s="1">
        <v>56040</v>
      </c>
      <c r="AT23" s="1">
        <v>426</v>
      </c>
      <c r="AU23" s="1">
        <v>1130</v>
      </c>
      <c r="AV23" s="1">
        <v>0</v>
      </c>
      <c r="AW23" s="1">
        <v>127</v>
      </c>
      <c r="AX23" s="1">
        <v>0</v>
      </c>
      <c r="AY23" s="1">
        <v>0</v>
      </c>
      <c r="AZ23" s="1">
        <v>7221</v>
      </c>
      <c r="BA23" s="1">
        <v>112.885438972163</v>
      </c>
      <c r="BB23" s="1">
        <v>35400</v>
      </c>
      <c r="BC23" s="1">
        <v>9360</v>
      </c>
      <c r="BD23" s="1">
        <v>0</v>
      </c>
      <c r="BE23" s="1">
        <v>0</v>
      </c>
      <c r="BF23" s="1">
        <v>44760</v>
      </c>
      <c r="BG23" s="1">
        <v>63.851640000000003</v>
      </c>
      <c r="BH23" s="1">
        <v>334</v>
      </c>
      <c r="BI23" s="1">
        <v>0.4764622</v>
      </c>
      <c r="BJ23" s="1">
        <v>682</v>
      </c>
      <c r="BK23" s="1">
        <v>0.97289590000000004</v>
      </c>
      <c r="BL23" s="1">
        <v>0</v>
      </c>
      <c r="BM23" s="1">
        <v>56</v>
      </c>
      <c r="BN23" s="1">
        <v>20</v>
      </c>
      <c r="BO23" s="1">
        <v>0</v>
      </c>
      <c r="BP23" s="1">
        <v>0</v>
      </c>
      <c r="BQ23" s="1"/>
      <c r="BR23" s="1"/>
      <c r="BS23" s="1"/>
      <c r="BT23" s="1"/>
      <c r="BU23" s="1" t="s">
        <v>384</v>
      </c>
      <c r="BV23" s="1" t="str">
        <f t="shared" si="3"/>
        <v>06-NG # LOT SOI. GOP C260713050</v>
      </c>
      <c r="BW23" s="7" t="str">
        <f t="shared" si="0"/>
        <v>2nd batch</v>
      </c>
      <c r="BX23" s="8" t="str">
        <f t="shared" si="1"/>
        <v>&gt;=500kg</v>
      </c>
      <c r="BY23" t="str">
        <f>IF(OR(IFERROR(VLOOKUP(J23,[1]NC!$L:$L,1,0),0)&lt;&gt;0,BQ23&gt;0),"NG","OK")</f>
        <v>OK</v>
      </c>
      <c r="BZ23" s="7" t="str">
        <f t="shared" si="2"/>
        <v>C260713061</v>
      </c>
      <c r="CA23" t="str">
        <f>IF(OR(IFERROR(VLOOKUP(BZ23,[2]DG!$H:$H,1,0),0)&lt;&gt;0,IFERROR(VLOOKUP(J23,[1]NC!$L:$L,1,0),0)&lt;&gt;0),"Rework",IF(BQ23&gt;0,"Adjustment","OK"))</f>
        <v>OK</v>
      </c>
    </row>
    <row r="24" spans="1:79">
      <c r="A24" s="1" t="s">
        <v>132</v>
      </c>
      <c r="B24" s="24" t="s">
        <v>96</v>
      </c>
      <c r="C24" s="1" t="s">
        <v>385</v>
      </c>
      <c r="D24" s="1" t="s">
        <v>386</v>
      </c>
      <c r="E24" s="1" t="s">
        <v>387</v>
      </c>
      <c r="F24" s="1" t="s">
        <v>388</v>
      </c>
      <c r="G24" s="1"/>
      <c r="H24" s="1" t="s">
        <v>389</v>
      </c>
      <c r="I24" s="1" t="s">
        <v>390</v>
      </c>
      <c r="J24" s="1" t="s">
        <v>391</v>
      </c>
      <c r="K24" s="1" t="s">
        <v>392</v>
      </c>
      <c r="L24" s="1" t="s">
        <v>106</v>
      </c>
      <c r="M24" s="1" t="s">
        <v>393</v>
      </c>
      <c r="N24" s="1" t="s">
        <v>11</v>
      </c>
      <c r="O24" s="1">
        <v>0</v>
      </c>
      <c r="P24" s="1">
        <v>70</v>
      </c>
      <c r="Q24" s="1" t="s">
        <v>108</v>
      </c>
      <c r="R24" s="1" t="s">
        <v>109</v>
      </c>
      <c r="S24" s="1">
        <v>6.5</v>
      </c>
      <c r="T24" s="1">
        <v>455</v>
      </c>
      <c r="U24" s="1">
        <v>0</v>
      </c>
      <c r="V24" s="1">
        <v>0</v>
      </c>
      <c r="W24" s="1">
        <v>180</v>
      </c>
      <c r="X24" s="1">
        <v>1100</v>
      </c>
      <c r="Y24" s="1">
        <v>0</v>
      </c>
      <c r="Z24" s="1">
        <v>1</v>
      </c>
      <c r="AA24" s="1">
        <v>30</v>
      </c>
      <c r="AB24" s="1" t="s">
        <v>394</v>
      </c>
      <c r="AC24" s="1"/>
      <c r="AD24" s="1"/>
      <c r="AE24" s="1" t="s">
        <v>15</v>
      </c>
      <c r="AF24" s="1" t="s">
        <v>395</v>
      </c>
      <c r="AG24" s="1" t="s">
        <v>396</v>
      </c>
      <c r="AH24" s="1" t="s">
        <v>385</v>
      </c>
      <c r="AI24" s="1" t="s">
        <v>144</v>
      </c>
      <c r="AJ24" s="1"/>
      <c r="AK24" s="1"/>
      <c r="AL24" s="1"/>
      <c r="AM24" s="1" t="s">
        <v>397</v>
      </c>
      <c r="AN24" s="1"/>
      <c r="AO24" s="1">
        <v>46298.750289351898</v>
      </c>
      <c r="AP24" s="1">
        <v>46300.294432870403</v>
      </c>
      <c r="AQ24" s="42">
        <v>46300.778854166703</v>
      </c>
      <c r="AR24" s="1">
        <v>41854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41854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/>
      <c r="BR24" s="1"/>
      <c r="BS24" s="1"/>
      <c r="BT24" s="1"/>
      <c r="BU24" s="1" t="s">
        <v>398</v>
      </c>
      <c r="BV24" s="1" t="str">
        <f t="shared" si="3"/>
        <v>05-NG, CT SAMPLE</v>
      </c>
      <c r="BW24" s="7" t="str">
        <f t="shared" si="0"/>
        <v>2nd batch</v>
      </c>
      <c r="BX24" s="8" t="str">
        <f t="shared" si="1"/>
        <v>Small Machine</v>
      </c>
      <c r="BY24" t="str">
        <f>IF(OR(IFERROR(VLOOKUP(J24,[1]NC!$L:$L,1,0),0)&lt;&gt;0,BQ24&gt;0),"NG","OK")</f>
        <v>OK</v>
      </c>
      <c r="BZ24" s="7" t="str">
        <f t="shared" si="2"/>
        <v>C260712171</v>
      </c>
      <c r="CA24" t="str">
        <f>IF(OR(IFERROR(VLOOKUP(BZ24,[2]DG!$H:$H,1,0),0)&lt;&gt;0,IFERROR(VLOOKUP(J24,[1]NC!$L:$L,1,0),0)&lt;&gt;0),"Rework",IF(BQ24&gt;0,"Adjustment","OK"))</f>
        <v>OK</v>
      </c>
    </row>
    <row r="25" spans="1:79">
      <c r="A25" s="1" t="s">
        <v>95</v>
      </c>
      <c r="B25" s="25" t="s">
        <v>96</v>
      </c>
      <c r="C25" s="1" t="s">
        <v>399</v>
      </c>
      <c r="D25" s="1" t="s">
        <v>278</v>
      </c>
      <c r="E25" s="1" t="s">
        <v>400</v>
      </c>
      <c r="F25" s="1" t="s">
        <v>401</v>
      </c>
      <c r="G25" s="1" t="s">
        <v>120</v>
      </c>
      <c r="H25" s="1" t="s">
        <v>402</v>
      </c>
      <c r="I25" s="1" t="s">
        <v>154</v>
      </c>
      <c r="J25" s="1" t="s">
        <v>403</v>
      </c>
      <c r="K25" s="1" t="s">
        <v>404</v>
      </c>
      <c r="L25" s="1" t="s">
        <v>106</v>
      </c>
      <c r="M25" s="1" t="s">
        <v>124</v>
      </c>
      <c r="N25" s="1" t="s">
        <v>12</v>
      </c>
      <c r="O25" s="1">
        <v>0</v>
      </c>
      <c r="P25" s="1">
        <v>1112</v>
      </c>
      <c r="Q25" s="1" t="s">
        <v>108</v>
      </c>
      <c r="R25" s="1" t="s">
        <v>109</v>
      </c>
      <c r="S25" s="1">
        <v>5.5</v>
      </c>
      <c r="T25" s="1">
        <v>6116</v>
      </c>
      <c r="U25" s="1">
        <v>0</v>
      </c>
      <c r="V25" s="1">
        <v>0</v>
      </c>
      <c r="W25" s="1">
        <v>280</v>
      </c>
      <c r="X25" s="1">
        <v>1150</v>
      </c>
      <c r="Y25" s="1">
        <v>0</v>
      </c>
      <c r="Z25" s="1">
        <v>2.2999999999999998</v>
      </c>
      <c r="AA25" s="1">
        <v>30</v>
      </c>
      <c r="AB25" s="1" t="s">
        <v>405</v>
      </c>
      <c r="AC25" s="1"/>
      <c r="AD25" s="1"/>
      <c r="AE25" s="1" t="s">
        <v>13</v>
      </c>
      <c r="AF25" s="1" t="s">
        <v>406</v>
      </c>
      <c r="AG25" s="1" t="s">
        <v>407</v>
      </c>
      <c r="AH25" s="1" t="s">
        <v>399</v>
      </c>
      <c r="AI25" s="1" t="s">
        <v>202</v>
      </c>
      <c r="AJ25" s="1"/>
      <c r="AK25" s="1"/>
      <c r="AL25" s="1"/>
      <c r="AM25" s="1" t="s">
        <v>408</v>
      </c>
      <c r="AN25" s="1"/>
      <c r="AO25" s="1">
        <v>46299.9534375</v>
      </c>
      <c r="AP25" s="1">
        <v>46300.2953472222</v>
      </c>
      <c r="AQ25" s="42">
        <v>46300.784328703703</v>
      </c>
      <c r="AR25" s="1">
        <v>42248</v>
      </c>
      <c r="AS25" s="1">
        <v>74100</v>
      </c>
      <c r="AT25" s="1">
        <v>35</v>
      </c>
      <c r="AU25" s="1">
        <v>1413</v>
      </c>
      <c r="AV25" s="1">
        <v>0</v>
      </c>
      <c r="AW25" s="1">
        <v>129</v>
      </c>
      <c r="AX25" s="1">
        <v>0</v>
      </c>
      <c r="AY25" s="1">
        <v>0</v>
      </c>
      <c r="AZ25" s="1">
        <v>-31852</v>
      </c>
      <c r="BA25" s="1">
        <v>57.0148448043185</v>
      </c>
      <c r="BB25" s="1">
        <v>25570</v>
      </c>
      <c r="BC25" s="1">
        <v>11550</v>
      </c>
      <c r="BD25" s="1">
        <v>0</v>
      </c>
      <c r="BE25" s="1">
        <v>6120</v>
      </c>
      <c r="BF25" s="1">
        <v>43240</v>
      </c>
      <c r="BG25" s="1">
        <v>38.884889999999999</v>
      </c>
      <c r="BH25" s="1">
        <v>193</v>
      </c>
      <c r="BI25" s="1">
        <v>0.1735612</v>
      </c>
      <c r="BJ25" s="1">
        <v>880</v>
      </c>
      <c r="BK25" s="1">
        <v>0.79136689999999998</v>
      </c>
      <c r="BL25" s="1">
        <v>0</v>
      </c>
      <c r="BM25" s="1">
        <v>20</v>
      </c>
      <c r="BN25" s="1">
        <v>56</v>
      </c>
      <c r="BO25" s="1">
        <v>133.6095</v>
      </c>
      <c r="BP25" s="1">
        <v>0</v>
      </c>
      <c r="BQ25" s="1"/>
      <c r="BR25" s="1"/>
      <c r="BS25" s="1"/>
      <c r="BT25" s="1"/>
      <c r="BU25" s="1" t="s">
        <v>409</v>
      </c>
      <c r="BV25" s="1" t="str">
        <f t="shared" si="3"/>
        <v>06-NG, KHAC LOT SOI, THE DAU, CAT 2Y VAI</v>
      </c>
      <c r="BW25" s="7" t="str">
        <f t="shared" si="0"/>
        <v>2nd batch</v>
      </c>
      <c r="BX25" s="8" t="str">
        <f t="shared" si="1"/>
        <v>&gt;=500kg</v>
      </c>
      <c r="BY25" t="str">
        <f>IF(OR(IFERROR(VLOOKUP(J25,[1]NC!$L:$L,1,0),0)&lt;&gt;0,BQ25&gt;0),"NG","OK")</f>
        <v>OK</v>
      </c>
      <c r="BZ25" s="7" t="str">
        <f t="shared" si="2"/>
        <v>C260693001</v>
      </c>
      <c r="CA25" t="str">
        <f>IF(OR(IFERROR(VLOOKUP(BZ25,[2]DG!$H:$H,1,0),0)&lt;&gt;0,IFERROR(VLOOKUP(J25,[1]NC!$L:$L,1,0),0)&lt;&gt;0),"Rework",IF(BQ25&gt;0,"Adjustment","OK"))</f>
        <v>OK</v>
      </c>
    </row>
    <row r="26" spans="1:79">
      <c r="A26" s="1" t="s">
        <v>95</v>
      </c>
      <c r="B26" s="26" t="s">
        <v>96</v>
      </c>
      <c r="C26" s="1" t="s">
        <v>410</v>
      </c>
      <c r="D26" s="1" t="s">
        <v>192</v>
      </c>
      <c r="E26" s="1" t="s">
        <v>411</v>
      </c>
      <c r="F26" s="1" t="s">
        <v>412</v>
      </c>
      <c r="G26" s="1" t="s">
        <v>120</v>
      </c>
      <c r="H26" s="1" t="s">
        <v>413</v>
      </c>
      <c r="I26" s="1" t="s">
        <v>154</v>
      </c>
      <c r="J26" s="1" t="s">
        <v>414</v>
      </c>
      <c r="K26" s="1" t="s">
        <v>371</v>
      </c>
      <c r="L26" s="1" t="s">
        <v>106</v>
      </c>
      <c r="M26" s="1" t="s">
        <v>124</v>
      </c>
      <c r="N26" s="1" t="s">
        <v>12</v>
      </c>
      <c r="O26" s="1">
        <v>0</v>
      </c>
      <c r="P26" s="1">
        <v>1099</v>
      </c>
      <c r="Q26" s="1" t="s">
        <v>108</v>
      </c>
      <c r="R26" s="1" t="s">
        <v>109</v>
      </c>
      <c r="S26" s="1">
        <v>5.5</v>
      </c>
      <c r="T26" s="1">
        <v>6044.5</v>
      </c>
      <c r="U26" s="1">
        <v>0</v>
      </c>
      <c r="V26" s="1">
        <v>0</v>
      </c>
      <c r="W26" s="1">
        <v>260</v>
      </c>
      <c r="X26" s="1">
        <v>80</v>
      </c>
      <c r="Y26" s="1">
        <v>0</v>
      </c>
      <c r="Z26" s="1">
        <v>2.2999999999999998</v>
      </c>
      <c r="AA26" s="1">
        <v>40</v>
      </c>
      <c r="AB26" s="1" t="s">
        <v>415</v>
      </c>
      <c r="AC26" s="1"/>
      <c r="AD26" s="1"/>
      <c r="AE26" s="1" t="s">
        <v>13</v>
      </c>
      <c r="AF26" s="1" t="s">
        <v>416</v>
      </c>
      <c r="AG26" s="1" t="s">
        <v>417</v>
      </c>
      <c r="AH26" s="1" t="s">
        <v>410</v>
      </c>
      <c r="AI26" s="1" t="s">
        <v>202</v>
      </c>
      <c r="AJ26" s="1" t="s">
        <v>418</v>
      </c>
      <c r="AK26" s="1"/>
      <c r="AL26" s="1"/>
      <c r="AM26" s="1" t="s">
        <v>408</v>
      </c>
      <c r="AN26" s="1"/>
      <c r="AO26" s="1">
        <v>46299.933692129598</v>
      </c>
      <c r="AP26" s="1">
        <v>46300.290509259299</v>
      </c>
      <c r="AQ26" s="42">
        <v>46300.785000000003</v>
      </c>
      <c r="AR26" s="1">
        <v>42724</v>
      </c>
      <c r="AS26" s="1">
        <v>75360</v>
      </c>
      <c r="AT26" s="1">
        <v>354</v>
      </c>
      <c r="AU26" s="1">
        <v>1744</v>
      </c>
      <c r="AV26" s="1">
        <v>0</v>
      </c>
      <c r="AW26" s="1">
        <v>196</v>
      </c>
      <c r="AX26" s="1">
        <v>0</v>
      </c>
      <c r="AY26" s="1">
        <v>0</v>
      </c>
      <c r="AZ26" s="1">
        <v>-32636</v>
      </c>
      <c r="BA26" s="1">
        <v>56.693205944798301</v>
      </c>
      <c r="BB26" s="1">
        <v>45744</v>
      </c>
      <c r="BC26" s="1">
        <v>967.8</v>
      </c>
      <c r="BD26" s="1">
        <v>0</v>
      </c>
      <c r="BE26" s="1">
        <v>45744</v>
      </c>
      <c r="BF26" s="1">
        <v>967.7</v>
      </c>
      <c r="BG26" s="1">
        <v>0.88052770000000002</v>
      </c>
      <c r="BH26" s="1">
        <v>0</v>
      </c>
      <c r="BI26" s="1">
        <v>0</v>
      </c>
      <c r="BJ26" s="1">
        <v>28077</v>
      </c>
      <c r="BK26" s="1">
        <v>25.54777</v>
      </c>
      <c r="BL26" s="1">
        <v>0</v>
      </c>
      <c r="BM26" s="1">
        <v>18</v>
      </c>
      <c r="BN26" s="1">
        <v>39</v>
      </c>
      <c r="BO26" s="1">
        <v>0</v>
      </c>
      <c r="BP26" s="1">
        <v>0</v>
      </c>
      <c r="BQ26" s="1"/>
      <c r="BR26" s="1"/>
      <c r="BS26" s="1"/>
      <c r="BT26" s="1"/>
      <c r="BU26" s="1" t="s">
        <v>419</v>
      </c>
      <c r="BV26" s="1" t="str">
        <f t="shared" si="3"/>
        <v>ONG LY XAC NHN KO TAY*CHUA CO XE RA VAI*06-NG, KHAC LOT SOI, THE DAU, CAT 2Y VAI</v>
      </c>
      <c r="BW26" s="7" t="str">
        <f t="shared" si="0"/>
        <v>2nd batch</v>
      </c>
      <c r="BX26" s="8" t="str">
        <f t="shared" si="1"/>
        <v>&gt;=500kg</v>
      </c>
      <c r="BY26" t="str">
        <f>IF(OR(IFERROR(VLOOKUP(J26,[1]NC!$L:$L,1,0),0)&lt;&gt;0,BQ26&gt;0),"NG","OK")</f>
        <v>OK</v>
      </c>
      <c r="BZ26" s="7" t="str">
        <f t="shared" si="2"/>
        <v>C260716911</v>
      </c>
      <c r="CA26" t="str">
        <f>IF(OR(IFERROR(VLOOKUP(BZ26,[2]DG!$H:$H,1,0),0)&lt;&gt;0,IFERROR(VLOOKUP(J26,[1]NC!$L:$L,1,0),0)&lt;&gt;0),"Rework",IF(BQ26&gt;0,"Adjustment","OK"))</f>
        <v>OK</v>
      </c>
    </row>
    <row r="27" spans="1:79">
      <c r="A27" s="1" t="s">
        <v>263</v>
      </c>
      <c r="B27" s="27" t="s">
        <v>96</v>
      </c>
      <c r="C27" s="1" t="s">
        <v>420</v>
      </c>
      <c r="D27" s="1" t="s">
        <v>421</v>
      </c>
      <c r="E27" s="1" t="s">
        <v>422</v>
      </c>
      <c r="F27" s="1" t="s">
        <v>423</v>
      </c>
      <c r="G27" s="1" t="s">
        <v>120</v>
      </c>
      <c r="H27" s="1" t="s">
        <v>424</v>
      </c>
      <c r="I27" s="1" t="s">
        <v>314</v>
      </c>
      <c r="J27" s="1" t="s">
        <v>425</v>
      </c>
      <c r="K27" s="1" t="s">
        <v>426</v>
      </c>
      <c r="L27" s="1" t="s">
        <v>106</v>
      </c>
      <c r="M27" s="1" t="s">
        <v>241</v>
      </c>
      <c r="N27" s="1" t="s">
        <v>11</v>
      </c>
      <c r="O27" s="1">
        <v>0</v>
      </c>
      <c r="P27" s="1">
        <v>146</v>
      </c>
      <c r="Q27" s="1" t="s">
        <v>108</v>
      </c>
      <c r="R27" s="1" t="s">
        <v>109</v>
      </c>
      <c r="S27" s="1">
        <v>10</v>
      </c>
      <c r="T27" s="1">
        <v>1460</v>
      </c>
      <c r="U27" s="1">
        <v>0</v>
      </c>
      <c r="V27" s="1">
        <v>0</v>
      </c>
      <c r="W27" s="1">
        <v>260</v>
      </c>
      <c r="X27" s="1">
        <v>1000</v>
      </c>
      <c r="Y27" s="1">
        <v>0</v>
      </c>
      <c r="Z27" s="1">
        <v>1.8</v>
      </c>
      <c r="AA27" s="1">
        <v>30</v>
      </c>
      <c r="AB27" s="1" t="s">
        <v>427</v>
      </c>
      <c r="AC27" s="1"/>
      <c r="AD27" s="1"/>
      <c r="AE27" s="1" t="s">
        <v>15</v>
      </c>
      <c r="AF27" s="1" t="s">
        <v>428</v>
      </c>
      <c r="AG27" s="1" t="s">
        <v>429</v>
      </c>
      <c r="AH27" s="1" t="s">
        <v>420</v>
      </c>
      <c r="AI27" s="1" t="s">
        <v>430</v>
      </c>
      <c r="AJ27" s="1"/>
      <c r="AK27" s="1"/>
      <c r="AL27" s="1"/>
      <c r="AM27" s="1" t="s">
        <v>431</v>
      </c>
      <c r="AN27" s="1"/>
      <c r="AO27" s="1">
        <v>46300.347858796304</v>
      </c>
      <c r="AP27" s="1">
        <v>46300.364039351902</v>
      </c>
      <c r="AQ27" s="42">
        <v>46300.8289814815</v>
      </c>
      <c r="AR27" s="1">
        <v>40171</v>
      </c>
      <c r="AS27" s="1">
        <v>53880</v>
      </c>
      <c r="AT27" s="1">
        <v>7</v>
      </c>
      <c r="AU27" s="1">
        <v>1308</v>
      </c>
      <c r="AV27" s="1">
        <v>0</v>
      </c>
      <c r="AW27" s="1">
        <v>29</v>
      </c>
      <c r="AX27" s="1">
        <v>0</v>
      </c>
      <c r="AY27" s="1">
        <v>0</v>
      </c>
      <c r="AZ27" s="1">
        <v>-13709</v>
      </c>
      <c r="BA27" s="1">
        <v>74.556421677802504</v>
      </c>
      <c r="BB27" s="1">
        <v>5060</v>
      </c>
      <c r="BC27" s="1">
        <v>4800</v>
      </c>
      <c r="BD27" s="1">
        <v>0</v>
      </c>
      <c r="BE27" s="1">
        <v>0</v>
      </c>
      <c r="BF27" s="1">
        <v>9860</v>
      </c>
      <c r="BG27" s="1">
        <v>67.53425</v>
      </c>
      <c r="BH27" s="1">
        <v>64</v>
      </c>
      <c r="BI27" s="1">
        <v>0.43835619999999997</v>
      </c>
      <c r="BJ27" s="1">
        <v>584</v>
      </c>
      <c r="BK27" s="1">
        <v>4</v>
      </c>
      <c r="BL27" s="1">
        <v>0</v>
      </c>
      <c r="BM27" s="1">
        <v>12</v>
      </c>
      <c r="BN27" s="1">
        <v>9</v>
      </c>
      <c r="BO27" s="1">
        <v>0</v>
      </c>
      <c r="BP27" s="1">
        <v>0</v>
      </c>
      <c r="BQ27" s="1"/>
      <c r="BR27" s="1"/>
      <c r="BS27" s="1"/>
      <c r="BT27" s="1"/>
      <c r="BU27" s="1" t="s">
        <v>432</v>
      </c>
      <c r="BV27" s="1" t="str">
        <f t="shared" si="3"/>
        <v>01-NG, FYR0042756, CAT 2Y VAI, NHUOM MAY H</v>
      </c>
      <c r="BW27" s="7" t="str">
        <f t="shared" si="0"/>
        <v>lab to bulk</v>
      </c>
      <c r="BX27" s="8" t="str">
        <f t="shared" si="1"/>
        <v>Small Machine</v>
      </c>
      <c r="BY27" t="str">
        <f>IF(OR(IFERROR(VLOOKUP(J27,[1]NC!$L:$L,1,0),0)&lt;&gt;0,BQ27&gt;0),"NG","OK")</f>
        <v>OK</v>
      </c>
      <c r="BZ27" s="7" t="str">
        <f t="shared" si="2"/>
        <v>C260715021</v>
      </c>
      <c r="CA27" t="str">
        <f>IF(OR(IFERROR(VLOOKUP(BZ27,[2]DG!$H:$H,1,0),0)&lt;&gt;0,IFERROR(VLOOKUP(J27,[1]NC!$L:$L,1,0),0)&lt;&gt;0),"Rework",IF(BQ27&gt;0,"Adjustment","OK"))</f>
        <v>OK</v>
      </c>
    </row>
    <row r="28" spans="1:79">
      <c r="A28" s="1" t="s">
        <v>95</v>
      </c>
      <c r="B28" s="28" t="s">
        <v>96</v>
      </c>
      <c r="C28" s="1" t="s">
        <v>433</v>
      </c>
      <c r="D28" s="1" t="s">
        <v>434</v>
      </c>
      <c r="E28" s="1" t="s">
        <v>435</v>
      </c>
      <c r="F28" s="1" t="s">
        <v>436</v>
      </c>
      <c r="G28" s="1" t="s">
        <v>120</v>
      </c>
      <c r="H28" s="1" t="s">
        <v>437</v>
      </c>
      <c r="I28" s="1" t="s">
        <v>438</v>
      </c>
      <c r="J28" s="1" t="s">
        <v>439</v>
      </c>
      <c r="K28" s="1" t="s">
        <v>440</v>
      </c>
      <c r="L28" s="1" t="s">
        <v>106</v>
      </c>
      <c r="M28" s="1" t="s">
        <v>441</v>
      </c>
      <c r="N28" s="1" t="s">
        <v>11</v>
      </c>
      <c r="O28" s="1">
        <v>1</v>
      </c>
      <c r="P28" s="1">
        <v>40</v>
      </c>
      <c r="Q28" s="1" t="s">
        <v>108</v>
      </c>
      <c r="R28" s="1" t="s">
        <v>109</v>
      </c>
      <c r="S28" s="1">
        <v>9</v>
      </c>
      <c r="T28" s="1">
        <v>360</v>
      </c>
      <c r="U28" s="1">
        <v>0</v>
      </c>
      <c r="V28" s="1">
        <v>0</v>
      </c>
      <c r="W28" s="1">
        <v>180</v>
      </c>
      <c r="X28" s="1">
        <v>900</v>
      </c>
      <c r="Y28" s="1">
        <v>0</v>
      </c>
      <c r="Z28" s="1">
        <v>2</v>
      </c>
      <c r="AA28" s="1">
        <v>30</v>
      </c>
      <c r="AB28" s="1" t="s">
        <v>442</v>
      </c>
      <c r="AC28" s="1"/>
      <c r="AD28" s="1"/>
      <c r="AE28" s="1" t="s">
        <v>14</v>
      </c>
      <c r="AF28" s="1" t="s">
        <v>443</v>
      </c>
      <c r="AG28" s="1" t="s">
        <v>444</v>
      </c>
      <c r="AH28" s="1" t="s">
        <v>433</v>
      </c>
      <c r="AI28" s="1" t="s">
        <v>445</v>
      </c>
      <c r="AJ28" s="1" t="s">
        <v>446</v>
      </c>
      <c r="AK28" s="1" t="s">
        <v>447</v>
      </c>
      <c r="AL28" s="1"/>
      <c r="AM28" s="1" t="s">
        <v>448</v>
      </c>
      <c r="AN28" s="1"/>
      <c r="AO28" s="1">
        <v>46299.194212962997</v>
      </c>
      <c r="AP28" s="1">
        <v>46300.326284722199</v>
      </c>
      <c r="AQ28" s="42">
        <v>46300.901574074102</v>
      </c>
      <c r="AR28" s="1">
        <v>49705</v>
      </c>
      <c r="AS28" s="1">
        <v>41280</v>
      </c>
      <c r="AT28" s="1">
        <v>15</v>
      </c>
      <c r="AU28" s="1">
        <v>2445</v>
      </c>
      <c r="AV28" s="1">
        <v>0</v>
      </c>
      <c r="AW28" s="1">
        <v>17</v>
      </c>
      <c r="AX28" s="1">
        <v>0</v>
      </c>
      <c r="AY28" s="1">
        <v>0</v>
      </c>
      <c r="AZ28" s="1">
        <v>8425</v>
      </c>
      <c r="BA28" s="1">
        <v>120.40939922480599</v>
      </c>
      <c r="BB28" s="1">
        <v>2474</v>
      </c>
      <c r="BC28" s="1">
        <v>1120</v>
      </c>
      <c r="BD28" s="1">
        <v>0</v>
      </c>
      <c r="BE28" s="1">
        <v>0</v>
      </c>
      <c r="BF28" s="1">
        <v>3594</v>
      </c>
      <c r="BG28" s="1">
        <v>89.85</v>
      </c>
      <c r="BH28" s="1">
        <v>35</v>
      </c>
      <c r="BI28" s="1">
        <v>0.875</v>
      </c>
      <c r="BJ28" s="1">
        <v>139</v>
      </c>
      <c r="BK28" s="1">
        <v>3.4750000000000001</v>
      </c>
      <c r="BL28" s="1">
        <v>0</v>
      </c>
      <c r="BM28" s="1">
        <v>20</v>
      </c>
      <c r="BN28" s="1">
        <v>11</v>
      </c>
      <c r="BO28" s="1">
        <v>0.223635</v>
      </c>
      <c r="BP28" s="1">
        <v>0</v>
      </c>
      <c r="BQ28" s="1"/>
      <c r="BR28" s="1"/>
      <c r="BS28" s="1"/>
      <c r="BT28" s="1"/>
      <c r="BU28" s="1" t="s">
        <v>449</v>
      </c>
      <c r="BV28" s="1" t="str">
        <f t="shared" si="3"/>
        <v>VAI TRONG MAY TINH LUYEN OK GIAO NHUOM80*15 1011 2G/L TRUOC NHUOM04-NG BAC DING XEM MAU</v>
      </c>
      <c r="BW28" s="7" t="str">
        <f t="shared" si="0"/>
        <v>2nd batch</v>
      </c>
      <c r="BX28" s="8" t="str">
        <f t="shared" si="1"/>
        <v>Small Machine</v>
      </c>
      <c r="BY28" t="str">
        <f>IF(OR(IFERROR(VLOOKUP(J28,[1]NC!$L:$L,1,0),0)&lt;&gt;0,BQ28&gt;0),"NG","OK")</f>
        <v>OK</v>
      </c>
      <c r="BZ28" s="7" t="str">
        <f t="shared" si="2"/>
        <v>C260714651</v>
      </c>
      <c r="CA28" t="str">
        <f>IF(OR(IFERROR(VLOOKUP(BZ28,[2]DG!$H:$H,1,0),0)&lt;&gt;0,IFERROR(VLOOKUP(J28,[1]NC!$L:$L,1,0),0)&lt;&gt;0),"Rework",IF(BQ28&gt;0,"Adjustment","OK"))</f>
        <v>OK</v>
      </c>
    </row>
    <row r="29" spans="1:79">
      <c r="A29" s="1" t="s">
        <v>263</v>
      </c>
      <c r="B29" s="29" t="s">
        <v>96</v>
      </c>
      <c r="C29" s="1" t="s">
        <v>450</v>
      </c>
      <c r="D29" s="1" t="s">
        <v>451</v>
      </c>
      <c r="E29" s="1" t="s">
        <v>452</v>
      </c>
      <c r="F29" s="1" t="s">
        <v>453</v>
      </c>
      <c r="G29" s="1" t="s">
        <v>120</v>
      </c>
      <c r="H29" s="1" t="s">
        <v>137</v>
      </c>
      <c r="I29" s="1" t="s">
        <v>103</v>
      </c>
      <c r="J29" s="1" t="s">
        <v>454</v>
      </c>
      <c r="K29" s="1" t="s">
        <v>293</v>
      </c>
      <c r="L29" s="1" t="s">
        <v>106</v>
      </c>
      <c r="M29" s="1" t="s">
        <v>140</v>
      </c>
      <c r="N29" s="1" t="s">
        <v>12</v>
      </c>
      <c r="O29" s="1">
        <v>0</v>
      </c>
      <c r="P29" s="1">
        <v>356</v>
      </c>
      <c r="Q29" s="1" t="s">
        <v>108</v>
      </c>
      <c r="R29" s="1" t="s">
        <v>109</v>
      </c>
      <c r="S29" s="1">
        <v>6</v>
      </c>
      <c r="T29" s="1">
        <v>2136</v>
      </c>
      <c r="U29" s="1">
        <v>0</v>
      </c>
      <c r="V29" s="1">
        <v>0</v>
      </c>
      <c r="W29" s="1">
        <v>260</v>
      </c>
      <c r="X29" s="1">
        <v>1100</v>
      </c>
      <c r="Y29" s="1">
        <v>0</v>
      </c>
      <c r="Z29" s="1">
        <v>1.8</v>
      </c>
      <c r="AA29" s="1">
        <v>30</v>
      </c>
      <c r="AB29" s="1" t="s">
        <v>455</v>
      </c>
      <c r="AC29" s="1"/>
      <c r="AD29" s="1"/>
      <c r="AE29" s="1" t="s">
        <v>15</v>
      </c>
      <c r="AF29" s="1" t="s">
        <v>456</v>
      </c>
      <c r="AG29" s="1" t="s">
        <v>457</v>
      </c>
      <c r="AH29" s="1" t="s">
        <v>450</v>
      </c>
      <c r="AI29" s="1" t="s">
        <v>458</v>
      </c>
      <c r="AJ29" s="1"/>
      <c r="AK29" s="1"/>
      <c r="AL29" s="1"/>
      <c r="AM29" s="1" t="s">
        <v>459</v>
      </c>
      <c r="AN29" s="1"/>
      <c r="AO29" s="1">
        <v>46300.328125</v>
      </c>
      <c r="AP29" s="1">
        <v>46300.7132291667</v>
      </c>
      <c r="AQ29" s="42">
        <v>46300.904305555603</v>
      </c>
      <c r="AR29" s="1">
        <v>16509</v>
      </c>
      <c r="AS29" s="1">
        <v>25080</v>
      </c>
      <c r="AT29" s="1">
        <v>6</v>
      </c>
      <c r="AU29" s="1">
        <v>908</v>
      </c>
      <c r="AV29" s="1">
        <v>0</v>
      </c>
      <c r="AW29" s="1">
        <v>14</v>
      </c>
      <c r="AX29" s="1">
        <v>0</v>
      </c>
      <c r="AY29" s="1">
        <v>0</v>
      </c>
      <c r="AZ29" s="1">
        <v>-8571</v>
      </c>
      <c r="BA29" s="1">
        <v>65.825358851674594</v>
      </c>
      <c r="BB29" s="1">
        <v>6630</v>
      </c>
      <c r="BC29" s="1">
        <v>0</v>
      </c>
      <c r="BD29" s="1">
        <v>0</v>
      </c>
      <c r="BE29" s="1">
        <v>0</v>
      </c>
      <c r="BF29" s="1">
        <v>6630</v>
      </c>
      <c r="BG29" s="1">
        <v>18.6236</v>
      </c>
      <c r="BH29" s="1">
        <v>35</v>
      </c>
      <c r="BI29" s="1">
        <v>9.8314609999999997E-2</v>
      </c>
      <c r="BJ29" s="1">
        <v>285</v>
      </c>
      <c r="BK29" s="1">
        <v>0.80056179999999999</v>
      </c>
      <c r="BL29" s="1">
        <v>0</v>
      </c>
      <c r="BM29" s="1">
        <v>19</v>
      </c>
      <c r="BN29" s="1">
        <v>9</v>
      </c>
      <c r="BO29" s="1">
        <v>0</v>
      </c>
      <c r="BP29" s="1">
        <v>0</v>
      </c>
      <c r="BQ29" s="1"/>
      <c r="BR29" s="1"/>
      <c r="BS29" s="1"/>
      <c r="BT29" s="1"/>
      <c r="BU29" s="1" t="s">
        <v>460</v>
      </c>
      <c r="BV29" s="1" t="str">
        <f t="shared" si="3"/>
        <v>08-OK CT K ON DINH, THEO DOI THEM</v>
      </c>
      <c r="BW29" s="7" t="str">
        <f t="shared" si="0"/>
        <v>bulk to bulk</v>
      </c>
      <c r="BX29" s="8" t="str">
        <f t="shared" si="1"/>
        <v>&gt;=500kg</v>
      </c>
      <c r="BY29" t="str">
        <f>IF(OR(IFERROR(VLOOKUP(J29,[1]NC!$L:$L,1,0),0)&lt;&gt;0,BQ29&gt;0),"NG","OK")</f>
        <v>OK</v>
      </c>
      <c r="BZ29" s="7" t="str">
        <f t="shared" si="2"/>
        <v>C260687921</v>
      </c>
      <c r="CA29" t="str">
        <f>IF(OR(IFERROR(VLOOKUP(BZ29,[2]DG!$H:$H,1,0),0)&lt;&gt;0,IFERROR(VLOOKUP(J29,[1]NC!$L:$L,1,0),0)&lt;&gt;0),"Rework",IF(BQ29&gt;0,"Adjustment","OK"))</f>
        <v>OK</v>
      </c>
    </row>
    <row r="30" spans="1:79">
      <c r="A30" s="1" t="s">
        <v>132</v>
      </c>
      <c r="B30" s="30" t="s">
        <v>96</v>
      </c>
      <c r="C30" s="1" t="s">
        <v>461</v>
      </c>
      <c r="D30" s="1" t="s">
        <v>462</v>
      </c>
      <c r="E30" s="1" t="s">
        <v>463</v>
      </c>
      <c r="F30" s="1" t="s">
        <v>464</v>
      </c>
      <c r="G30" s="1" t="s">
        <v>209</v>
      </c>
      <c r="H30" s="1" t="s">
        <v>465</v>
      </c>
      <c r="I30" s="1" t="s">
        <v>255</v>
      </c>
      <c r="J30" s="1" t="s">
        <v>466</v>
      </c>
      <c r="K30" s="1" t="s">
        <v>240</v>
      </c>
      <c r="L30" s="1" t="s">
        <v>106</v>
      </c>
      <c r="M30" s="1" t="s">
        <v>467</v>
      </c>
      <c r="N30" s="1" t="s">
        <v>11</v>
      </c>
      <c r="O30" s="1">
        <v>0</v>
      </c>
      <c r="P30" s="1">
        <v>13</v>
      </c>
      <c r="Q30" s="1" t="s">
        <v>108</v>
      </c>
      <c r="R30" s="1" t="s">
        <v>109</v>
      </c>
      <c r="S30" s="1">
        <v>15</v>
      </c>
      <c r="T30" s="1">
        <v>195</v>
      </c>
      <c r="U30" s="1">
        <v>0</v>
      </c>
      <c r="V30" s="1">
        <v>0</v>
      </c>
      <c r="W30" s="1">
        <v>150</v>
      </c>
      <c r="X30" s="1">
        <v>800</v>
      </c>
      <c r="Y30" s="1">
        <v>0</v>
      </c>
      <c r="Z30" s="1">
        <v>1.8</v>
      </c>
      <c r="AA30" s="1">
        <v>30</v>
      </c>
      <c r="AB30" s="1" t="s">
        <v>468</v>
      </c>
      <c r="AC30" s="1"/>
      <c r="AD30" s="1"/>
      <c r="AE30" s="1" t="s">
        <v>15</v>
      </c>
      <c r="AF30" s="1" t="s">
        <v>469</v>
      </c>
      <c r="AG30" s="1" t="s">
        <v>470</v>
      </c>
      <c r="AH30" s="1" t="s">
        <v>461</v>
      </c>
      <c r="AI30" s="1" t="s">
        <v>144</v>
      </c>
      <c r="AJ30" s="1" t="s">
        <v>471</v>
      </c>
      <c r="AK30" s="1"/>
      <c r="AL30" s="1"/>
      <c r="AM30" s="1" t="s">
        <v>472</v>
      </c>
      <c r="AN30" s="1"/>
      <c r="AO30" s="1">
        <v>46300.433865740699</v>
      </c>
      <c r="AP30" s="1">
        <v>46300.526921296303</v>
      </c>
      <c r="AQ30" s="42">
        <v>46300.936631944402</v>
      </c>
      <c r="AR30" s="1">
        <v>35399</v>
      </c>
      <c r="AS30" s="1">
        <v>38340</v>
      </c>
      <c r="AT30" s="1">
        <v>12</v>
      </c>
      <c r="AU30" s="1">
        <v>1306</v>
      </c>
      <c r="AV30" s="1">
        <v>0</v>
      </c>
      <c r="AW30" s="1">
        <v>8</v>
      </c>
      <c r="AX30" s="1">
        <v>0</v>
      </c>
      <c r="AY30" s="1">
        <v>0</v>
      </c>
      <c r="AZ30" s="1">
        <v>-2941</v>
      </c>
      <c r="BA30" s="1">
        <v>92.329160146061596</v>
      </c>
      <c r="BB30" s="1">
        <v>516</v>
      </c>
      <c r="BC30" s="1">
        <v>688</v>
      </c>
      <c r="BD30" s="1">
        <v>0</v>
      </c>
      <c r="BE30" s="1">
        <v>195</v>
      </c>
      <c r="BF30" s="1">
        <v>1399</v>
      </c>
      <c r="BG30" s="1">
        <v>107.61539999999999</v>
      </c>
      <c r="BH30" s="1">
        <v>13</v>
      </c>
      <c r="BI30" s="1">
        <v>1</v>
      </c>
      <c r="BJ30" s="1">
        <v>0</v>
      </c>
      <c r="BK30" s="1">
        <v>0</v>
      </c>
      <c r="BL30" s="1">
        <v>0</v>
      </c>
      <c r="BM30" s="1">
        <v>19</v>
      </c>
      <c r="BN30" s="1">
        <v>8</v>
      </c>
      <c r="BO30" s="1">
        <v>0.9287434</v>
      </c>
      <c r="BP30" s="1">
        <v>0</v>
      </c>
      <c r="BQ30" s="1"/>
      <c r="BR30" s="1"/>
      <c r="BS30" s="1"/>
      <c r="BT30" s="1"/>
      <c r="BU30" s="1" t="s">
        <v>473</v>
      </c>
      <c r="BV30" s="1" t="str">
        <f t="shared" si="3"/>
        <v>5307-NG, CT SAMPLE</v>
      </c>
      <c r="BW30" s="7" t="str">
        <f t="shared" si="0"/>
        <v>lab to bulk</v>
      </c>
      <c r="BX30" s="8" t="str">
        <f t="shared" si="1"/>
        <v>Small Machine</v>
      </c>
      <c r="BY30" t="str">
        <f>IF(OR(IFERROR(VLOOKUP(J30,[1]NC!$L:$L,1,0),0)&lt;&gt;0,BQ30&gt;0),"NG","OK")</f>
        <v>OK</v>
      </c>
      <c r="BZ30" s="7" t="str">
        <f t="shared" si="2"/>
        <v>C260714871</v>
      </c>
      <c r="CA30" t="str">
        <f>IF(OR(IFERROR(VLOOKUP(BZ30,[2]DG!$H:$H,1,0),0)&lt;&gt;0,IFERROR(VLOOKUP(J30,[1]NC!$L:$L,1,0),0)&lt;&gt;0),"Rework",IF(BQ30&gt;0,"Adjustment","OK"))</f>
        <v>OK</v>
      </c>
    </row>
    <row r="31" spans="1:79">
      <c r="A31" s="1" t="s">
        <v>95</v>
      </c>
      <c r="B31" s="12" t="s">
        <v>96</v>
      </c>
      <c r="C31" s="1" t="s">
        <v>163</v>
      </c>
      <c r="D31" s="1" t="s">
        <v>164</v>
      </c>
      <c r="E31" s="1" t="s">
        <v>474</v>
      </c>
      <c r="F31" s="1" t="s">
        <v>166</v>
      </c>
      <c r="G31" s="1" t="s">
        <v>120</v>
      </c>
      <c r="H31" s="1" t="s">
        <v>167</v>
      </c>
      <c r="I31" s="1" t="s">
        <v>103</v>
      </c>
      <c r="J31" s="1" t="s">
        <v>475</v>
      </c>
      <c r="K31" s="1" t="s">
        <v>169</v>
      </c>
      <c r="L31" s="1" t="s">
        <v>106</v>
      </c>
      <c r="M31" s="1" t="s">
        <v>107</v>
      </c>
      <c r="N31" s="1" t="s">
        <v>12</v>
      </c>
      <c r="O31" s="1">
        <v>0</v>
      </c>
      <c r="P31" s="1">
        <v>487</v>
      </c>
      <c r="Q31" s="1" t="s">
        <v>108</v>
      </c>
      <c r="R31" s="1" t="s">
        <v>109</v>
      </c>
      <c r="S31" s="1">
        <v>5.5</v>
      </c>
      <c r="T31" s="1">
        <v>2678.5</v>
      </c>
      <c r="U31" s="1">
        <v>0</v>
      </c>
      <c r="V31" s="1">
        <v>0</v>
      </c>
      <c r="W31" s="1">
        <v>300</v>
      </c>
      <c r="X31" s="1">
        <v>1150</v>
      </c>
      <c r="Y31" s="1">
        <v>0</v>
      </c>
      <c r="Z31" s="1">
        <v>2</v>
      </c>
      <c r="AA31" s="1">
        <v>40</v>
      </c>
      <c r="AB31" s="1" t="s">
        <v>476</v>
      </c>
      <c r="AC31" s="1"/>
      <c r="AD31" s="1"/>
      <c r="AE31" s="1" t="s">
        <v>14</v>
      </c>
      <c r="AF31" s="1" t="s">
        <v>171</v>
      </c>
      <c r="AG31" s="1" t="s">
        <v>172</v>
      </c>
      <c r="AH31" s="1" t="s">
        <v>163</v>
      </c>
      <c r="AI31" s="1" t="s">
        <v>173</v>
      </c>
      <c r="AJ31" s="1"/>
      <c r="AK31" s="1"/>
      <c r="AL31" s="1"/>
      <c r="AM31" s="1" t="s">
        <v>477</v>
      </c>
      <c r="AN31" s="1"/>
      <c r="AO31" s="1">
        <v>46300.6091087963</v>
      </c>
      <c r="AP31" s="1">
        <v>46300.629085648201</v>
      </c>
      <c r="AQ31" s="42">
        <v>46300.963807870401</v>
      </c>
      <c r="AR31" s="1">
        <v>28920</v>
      </c>
      <c r="AS31" s="1">
        <v>49860</v>
      </c>
      <c r="AT31" s="1">
        <v>220</v>
      </c>
      <c r="AU31" s="1">
        <v>3007</v>
      </c>
      <c r="AV31" s="1">
        <v>0</v>
      </c>
      <c r="AW31" s="1">
        <v>32</v>
      </c>
      <c r="AX31" s="1">
        <v>0</v>
      </c>
      <c r="AY31" s="1">
        <v>0</v>
      </c>
      <c r="AZ31" s="1">
        <v>-20940</v>
      </c>
      <c r="BA31" s="1">
        <v>58.0024067388688</v>
      </c>
      <c r="BB31" s="1">
        <v>13000</v>
      </c>
      <c r="BC31" s="1">
        <v>3420</v>
      </c>
      <c r="BD31" s="1">
        <v>0</v>
      </c>
      <c r="BE31" s="1">
        <v>0</v>
      </c>
      <c r="BF31" s="1">
        <v>16420</v>
      </c>
      <c r="BG31" s="1">
        <v>33.716630000000002</v>
      </c>
      <c r="BH31" s="1">
        <v>62</v>
      </c>
      <c r="BI31" s="1">
        <v>0.12731010000000001</v>
      </c>
      <c r="BJ31" s="1">
        <v>575</v>
      </c>
      <c r="BK31" s="1">
        <v>1.180698</v>
      </c>
      <c r="BL31" s="1">
        <v>0</v>
      </c>
      <c r="BM31" s="1">
        <v>18</v>
      </c>
      <c r="BN31" s="1">
        <v>19</v>
      </c>
      <c r="BO31" s="1">
        <v>0.45057239999999998</v>
      </c>
      <c r="BP31" s="1">
        <v>0</v>
      </c>
      <c r="BQ31" s="1"/>
      <c r="BR31" s="1"/>
      <c r="BS31" s="1"/>
      <c r="BT31" s="1"/>
      <c r="BU31" s="1" t="s">
        <v>176</v>
      </c>
      <c r="BV31" s="1" t="str">
        <f t="shared" si="3"/>
        <v>03-NG, THE DAU</v>
      </c>
      <c r="BW31" s="7" t="str">
        <f t="shared" si="0"/>
        <v>2nd batch</v>
      </c>
      <c r="BX31" s="8" t="str">
        <f t="shared" si="1"/>
        <v>&gt;=500kg</v>
      </c>
      <c r="BY31" t="str">
        <f>IF(OR(IFERROR(VLOOKUP(J31,[1]NC!$L:$L,1,0),0)&lt;&gt;0,BQ31&gt;0),"NG","OK")</f>
        <v>OK</v>
      </c>
      <c r="BZ31" s="7" t="str">
        <f t="shared" si="2"/>
        <v>C260703151</v>
      </c>
      <c r="CA31" t="str">
        <f>IF(OR(IFERROR(VLOOKUP(BZ31,[2]DG!$H:$H,1,0),0)&lt;&gt;0,IFERROR(VLOOKUP(J31,[1]NC!$L:$L,1,0),0)&lt;&gt;0),"Rework",IF(BQ31&gt;0,"Adjustment","OK"))</f>
        <v>OK</v>
      </c>
    </row>
    <row r="32" spans="1:79">
      <c r="A32" s="1" t="s">
        <v>95</v>
      </c>
      <c r="B32" s="31" t="s">
        <v>96</v>
      </c>
      <c r="C32" s="1" t="s">
        <v>478</v>
      </c>
      <c r="D32" s="1" t="s">
        <v>479</v>
      </c>
      <c r="E32" s="1" t="s">
        <v>480</v>
      </c>
      <c r="F32" s="1" t="s">
        <v>481</v>
      </c>
      <c r="G32" s="1" t="s">
        <v>120</v>
      </c>
      <c r="H32" s="1" t="s">
        <v>121</v>
      </c>
      <c r="I32" s="1" t="s">
        <v>103</v>
      </c>
      <c r="J32" s="1" t="s">
        <v>482</v>
      </c>
      <c r="K32" s="1" t="s">
        <v>483</v>
      </c>
      <c r="L32" s="1" t="s">
        <v>106</v>
      </c>
      <c r="M32" s="1" t="s">
        <v>441</v>
      </c>
      <c r="N32" s="1" t="s">
        <v>11</v>
      </c>
      <c r="O32" s="1">
        <v>0</v>
      </c>
      <c r="P32" s="1">
        <v>398</v>
      </c>
      <c r="Q32" s="1" t="s">
        <v>108</v>
      </c>
      <c r="R32" s="1" t="s">
        <v>109</v>
      </c>
      <c r="S32" s="1">
        <v>5.5</v>
      </c>
      <c r="T32" s="1">
        <v>2189</v>
      </c>
      <c r="U32" s="1">
        <v>0</v>
      </c>
      <c r="V32" s="1">
        <v>0</v>
      </c>
      <c r="W32" s="1">
        <v>260</v>
      </c>
      <c r="X32" s="1">
        <v>1150</v>
      </c>
      <c r="Y32" s="1">
        <v>0</v>
      </c>
      <c r="Z32" s="1">
        <v>2.2999999999999998</v>
      </c>
      <c r="AA32" s="1">
        <v>30</v>
      </c>
      <c r="AB32" s="1" t="s">
        <v>484</v>
      </c>
      <c r="AC32" s="1"/>
      <c r="AD32" s="1"/>
      <c r="AE32" s="1" t="s">
        <v>13</v>
      </c>
      <c r="AF32" s="1" t="s">
        <v>485</v>
      </c>
      <c r="AG32" s="1" t="s">
        <v>486</v>
      </c>
      <c r="AH32" s="1" t="s">
        <v>478</v>
      </c>
      <c r="AI32" s="1" t="s">
        <v>202</v>
      </c>
      <c r="AJ32" s="1"/>
      <c r="AK32" s="1" t="s">
        <v>487</v>
      </c>
      <c r="AL32" s="1"/>
      <c r="AM32" s="1" t="s">
        <v>488</v>
      </c>
      <c r="AN32" s="1"/>
      <c r="AO32" s="1">
        <v>46299.9899421296</v>
      </c>
      <c r="AP32" s="1">
        <v>46300.5396064815</v>
      </c>
      <c r="AQ32" s="42">
        <v>46300.9745833333</v>
      </c>
      <c r="AR32" s="1">
        <v>37582</v>
      </c>
      <c r="AS32" s="1">
        <v>62040</v>
      </c>
      <c r="AT32" s="1">
        <v>22</v>
      </c>
      <c r="AU32" s="1">
        <v>1649</v>
      </c>
      <c r="AV32" s="1">
        <v>0</v>
      </c>
      <c r="AW32" s="1">
        <v>22</v>
      </c>
      <c r="AX32" s="1">
        <v>0</v>
      </c>
      <c r="AY32" s="1">
        <v>0</v>
      </c>
      <c r="AZ32" s="1">
        <v>-24458</v>
      </c>
      <c r="BA32" s="1">
        <v>60.577047066408802</v>
      </c>
      <c r="BB32" s="1">
        <v>10670</v>
      </c>
      <c r="BC32" s="1">
        <v>5120</v>
      </c>
      <c r="BD32" s="1">
        <v>0</v>
      </c>
      <c r="BE32" s="1">
        <v>0</v>
      </c>
      <c r="BF32" s="1">
        <v>15790</v>
      </c>
      <c r="BG32" s="1">
        <v>39.673369999999998</v>
      </c>
      <c r="BH32" s="1">
        <v>84</v>
      </c>
      <c r="BI32" s="1">
        <v>0.2110553</v>
      </c>
      <c r="BJ32" s="1">
        <v>492</v>
      </c>
      <c r="BK32" s="1">
        <v>1.236181</v>
      </c>
      <c r="BL32" s="1">
        <v>0</v>
      </c>
      <c r="BM32" s="1">
        <v>15</v>
      </c>
      <c r="BN32" s="1">
        <v>17</v>
      </c>
      <c r="BO32" s="1">
        <v>0.30164560000000001</v>
      </c>
      <c r="BP32" s="1">
        <v>0</v>
      </c>
      <c r="BQ32" s="1"/>
      <c r="BR32" s="1"/>
      <c r="BS32" s="1"/>
      <c r="BT32" s="1"/>
      <c r="BU32" s="1" t="s">
        <v>489</v>
      </c>
      <c r="BV32" s="1" t="str">
        <f t="shared" si="3"/>
        <v>TY TRONG MUOI 1.0204-NG ST C260705790</v>
      </c>
      <c r="BW32" s="7" t="str">
        <f t="shared" si="0"/>
        <v>2nd batch</v>
      </c>
      <c r="BX32" s="8" t="str">
        <f t="shared" si="1"/>
        <v>&gt;=500kg</v>
      </c>
      <c r="BY32" t="str">
        <f>IF(OR(IFERROR(VLOOKUP(J32,[1]NC!$L:$L,1,0),0)&lt;&gt;0,BQ32&gt;0),"NG","OK")</f>
        <v>OK</v>
      </c>
      <c r="BZ32" s="7" t="str">
        <f t="shared" si="2"/>
        <v>C260705801</v>
      </c>
      <c r="CA32" t="str">
        <f>IF(OR(IFERROR(VLOOKUP(BZ32,[2]DG!$H:$H,1,0),0)&lt;&gt;0,IFERROR(VLOOKUP(J32,[1]NC!$L:$L,1,0),0)&lt;&gt;0),"Rework",IF(BQ32&gt;0,"Adjustment","OK"))</f>
        <v>OK</v>
      </c>
    </row>
    <row r="33" spans="1:79">
      <c r="A33" s="1" t="s">
        <v>95</v>
      </c>
      <c r="B33" s="14" t="s">
        <v>96</v>
      </c>
      <c r="C33" s="1" t="s">
        <v>205</v>
      </c>
      <c r="D33" s="1" t="s">
        <v>206</v>
      </c>
      <c r="E33" s="1" t="s">
        <v>490</v>
      </c>
      <c r="F33" s="1" t="s">
        <v>208</v>
      </c>
      <c r="G33" s="1" t="s">
        <v>209</v>
      </c>
      <c r="H33" s="1" t="s">
        <v>210</v>
      </c>
      <c r="I33" s="1" t="s">
        <v>103</v>
      </c>
      <c r="J33" s="1" t="s">
        <v>211</v>
      </c>
      <c r="K33" s="1" t="s">
        <v>491</v>
      </c>
      <c r="L33" s="1" t="s">
        <v>106</v>
      </c>
      <c r="M33" s="1" t="s">
        <v>107</v>
      </c>
      <c r="N33" s="1" t="s">
        <v>12</v>
      </c>
      <c r="O33" s="1">
        <v>1</v>
      </c>
      <c r="P33" s="1">
        <v>493</v>
      </c>
      <c r="Q33" s="1" t="s">
        <v>108</v>
      </c>
      <c r="R33" s="1" t="s">
        <v>109</v>
      </c>
      <c r="S33" s="1">
        <v>6.5</v>
      </c>
      <c r="T33" s="1">
        <v>3204.5</v>
      </c>
      <c r="U33" s="1">
        <v>0</v>
      </c>
      <c r="V33" s="1">
        <v>0</v>
      </c>
      <c r="W33" s="1">
        <v>300</v>
      </c>
      <c r="X33" s="1">
        <v>1200</v>
      </c>
      <c r="Y33" s="1">
        <v>0</v>
      </c>
      <c r="Z33" s="1">
        <v>1.8</v>
      </c>
      <c r="AA33" s="1">
        <v>40</v>
      </c>
      <c r="AB33" s="1" t="s">
        <v>213</v>
      </c>
      <c r="AC33" s="1"/>
      <c r="AD33" s="1"/>
      <c r="AE33" s="1" t="s">
        <v>14</v>
      </c>
      <c r="AF33" s="1" t="s">
        <v>214</v>
      </c>
      <c r="AG33" s="1" t="s">
        <v>215</v>
      </c>
      <c r="AH33" s="1" t="s">
        <v>205</v>
      </c>
      <c r="AI33" s="1" t="s">
        <v>216</v>
      </c>
      <c r="AJ33" s="1"/>
      <c r="AK33" s="1"/>
      <c r="AL33" s="1" t="s">
        <v>492</v>
      </c>
      <c r="AM33" s="1" t="s">
        <v>175</v>
      </c>
      <c r="AN33" s="1"/>
      <c r="AO33" s="1">
        <v>46300.606064814798</v>
      </c>
      <c r="AP33" s="1">
        <v>46300.607418981497</v>
      </c>
      <c r="AQ33" s="42">
        <v>46301.005150463003</v>
      </c>
      <c r="AR33" s="1">
        <v>34364</v>
      </c>
      <c r="AS33" s="1">
        <v>50280</v>
      </c>
      <c r="AT33" s="1">
        <v>94</v>
      </c>
      <c r="AU33" s="1">
        <v>3219</v>
      </c>
      <c r="AV33" s="1">
        <v>0</v>
      </c>
      <c r="AW33" s="1">
        <v>55</v>
      </c>
      <c r="AX33" s="1">
        <v>0</v>
      </c>
      <c r="AY33" s="1">
        <v>0</v>
      </c>
      <c r="AZ33" s="1">
        <v>-15916</v>
      </c>
      <c r="BA33" s="1">
        <v>68.345266507557696</v>
      </c>
      <c r="BB33" s="1">
        <v>2320</v>
      </c>
      <c r="BC33" s="1">
        <v>23880</v>
      </c>
      <c r="BD33" s="1">
        <v>0</v>
      </c>
      <c r="BE33" s="1">
        <v>0</v>
      </c>
      <c r="BF33" s="1">
        <v>26200</v>
      </c>
      <c r="BG33" s="1">
        <v>53.144019999999998</v>
      </c>
      <c r="BH33" s="1">
        <v>104</v>
      </c>
      <c r="BI33" s="1">
        <v>0.21095330000000001</v>
      </c>
      <c r="BJ33" s="1">
        <v>336</v>
      </c>
      <c r="BK33" s="1">
        <v>0.68154159999999997</v>
      </c>
      <c r="BL33" s="1">
        <v>0</v>
      </c>
      <c r="BM33" s="1">
        <v>36</v>
      </c>
      <c r="BN33" s="1">
        <v>12</v>
      </c>
      <c r="BO33" s="1">
        <v>22.624790000000001</v>
      </c>
      <c r="BP33" s="1">
        <v>0</v>
      </c>
      <c r="BQ33" s="1"/>
      <c r="BR33" s="1"/>
      <c r="BS33" s="1"/>
      <c r="BT33" s="1"/>
      <c r="BU33" s="1" t="s">
        <v>493</v>
      </c>
      <c r="BV33" s="1" t="str">
        <f t="shared" si="3"/>
        <v>CHI LAI CT MAUR03-NG, THE DAU, CAT 2Y VAI</v>
      </c>
      <c r="BW33" s="7" t="str">
        <f t="shared" si="0"/>
        <v>2nd batch</v>
      </c>
      <c r="BX33" s="8" t="str">
        <f t="shared" si="1"/>
        <v>&gt;=500kg</v>
      </c>
      <c r="BY33" t="str">
        <f>IF(OR(IFERROR(VLOOKUP(J33,[1]NC!$L:$L,1,0),0)&lt;&gt;0,BQ33&gt;0),"NG","OK")</f>
        <v>OK</v>
      </c>
      <c r="BZ33" s="7" t="str">
        <f t="shared" si="2"/>
        <v>C260708101</v>
      </c>
      <c r="CA33" t="str">
        <f>IF(OR(IFERROR(VLOOKUP(BZ33,[2]DG!$H:$H,1,0),0)&lt;&gt;0,IFERROR(VLOOKUP(J33,[1]NC!$L:$L,1,0),0)&lt;&gt;0),"Rework",IF(BQ33&gt;0,"Adjustment","OK"))</f>
        <v>OK</v>
      </c>
    </row>
    <row r="34" spans="1:79">
      <c r="A34" s="1" t="s">
        <v>95</v>
      </c>
      <c r="B34" s="32" t="s">
        <v>96</v>
      </c>
      <c r="C34" s="1" t="s">
        <v>494</v>
      </c>
      <c r="D34" s="1" t="s">
        <v>495</v>
      </c>
      <c r="E34" s="1" t="s">
        <v>496</v>
      </c>
      <c r="F34" s="1" t="s">
        <v>497</v>
      </c>
      <c r="G34" s="1" t="s">
        <v>120</v>
      </c>
      <c r="H34" s="1" t="s">
        <v>498</v>
      </c>
      <c r="I34" s="1" t="s">
        <v>499</v>
      </c>
      <c r="J34" s="1" t="s">
        <v>500</v>
      </c>
      <c r="K34" s="1" t="s">
        <v>501</v>
      </c>
      <c r="L34" s="1" t="s">
        <v>106</v>
      </c>
      <c r="M34" s="1" t="s">
        <v>393</v>
      </c>
      <c r="N34" s="1" t="s">
        <v>11</v>
      </c>
      <c r="O34" s="1">
        <v>0</v>
      </c>
      <c r="P34" s="1">
        <v>245</v>
      </c>
      <c r="Q34" s="1" t="s">
        <v>108</v>
      </c>
      <c r="R34" s="1" t="s">
        <v>109</v>
      </c>
      <c r="S34" s="1">
        <v>7</v>
      </c>
      <c r="T34" s="1">
        <v>1715</v>
      </c>
      <c r="U34" s="1">
        <v>0</v>
      </c>
      <c r="V34" s="1">
        <v>0</v>
      </c>
      <c r="W34" s="1">
        <v>160</v>
      </c>
      <c r="X34" s="1">
        <v>1200</v>
      </c>
      <c r="Y34" s="1">
        <v>0</v>
      </c>
      <c r="Z34" s="1">
        <v>2</v>
      </c>
      <c r="AA34" s="1">
        <v>40</v>
      </c>
      <c r="AB34" s="1" t="s">
        <v>502</v>
      </c>
      <c r="AC34" s="1"/>
      <c r="AD34" s="1"/>
      <c r="AE34" s="1" t="s">
        <v>14</v>
      </c>
      <c r="AF34" s="1" t="s">
        <v>503</v>
      </c>
      <c r="AG34" s="1" t="s">
        <v>504</v>
      </c>
      <c r="AH34" s="1" t="s">
        <v>494</v>
      </c>
      <c r="AI34" s="1" t="s">
        <v>505</v>
      </c>
      <c r="AJ34" s="1" t="s">
        <v>506</v>
      </c>
      <c r="AK34" s="1"/>
      <c r="AL34" s="1" t="s">
        <v>507</v>
      </c>
      <c r="AM34" s="1"/>
      <c r="AN34" s="1"/>
      <c r="AO34" s="1">
        <v>46300.050844907397</v>
      </c>
      <c r="AP34" s="1">
        <v>46300.316423611097</v>
      </c>
      <c r="AQ34" s="42">
        <v>46301.008518518502</v>
      </c>
      <c r="AR34" s="1">
        <v>59797</v>
      </c>
      <c r="AS34" s="1">
        <v>55860</v>
      </c>
      <c r="AT34" s="1">
        <v>0</v>
      </c>
      <c r="AU34" s="1">
        <v>3580</v>
      </c>
      <c r="AV34" s="1">
        <v>0</v>
      </c>
      <c r="AW34" s="1">
        <v>37</v>
      </c>
      <c r="AX34" s="1">
        <v>0</v>
      </c>
      <c r="AY34" s="1">
        <v>0</v>
      </c>
      <c r="AZ34" s="1">
        <v>3937</v>
      </c>
      <c r="BA34" s="1">
        <v>107.04797708557101</v>
      </c>
      <c r="BB34" s="1">
        <v>12300</v>
      </c>
      <c r="BC34" s="1">
        <v>3690</v>
      </c>
      <c r="BD34" s="1">
        <v>0</v>
      </c>
      <c r="BE34" s="1">
        <v>0</v>
      </c>
      <c r="BF34" s="1">
        <v>15990</v>
      </c>
      <c r="BG34" s="1">
        <v>65.265299999999996</v>
      </c>
      <c r="BH34" s="1">
        <v>198</v>
      </c>
      <c r="BI34" s="1">
        <v>0.80816330000000003</v>
      </c>
      <c r="BJ34" s="1">
        <v>1022</v>
      </c>
      <c r="BK34" s="1">
        <v>4.1714289999999998</v>
      </c>
      <c r="BL34" s="1">
        <v>0</v>
      </c>
      <c r="BM34" s="1">
        <v>15</v>
      </c>
      <c r="BN34" s="1">
        <v>6</v>
      </c>
      <c r="BO34" s="1">
        <v>0</v>
      </c>
      <c r="BP34" s="1">
        <v>0</v>
      </c>
      <c r="BQ34" s="1"/>
      <c r="BR34" s="1"/>
      <c r="BS34" s="1"/>
      <c r="BT34" s="1"/>
      <c r="BU34" s="1" t="s">
        <v>508</v>
      </c>
      <c r="BV34" s="1" t="str">
        <f t="shared" si="3"/>
        <v>*CHO DINH BIEN,CHO XE RA VAI *05-NG DOI SOPAING 878</v>
      </c>
      <c r="BW34" s="7" t="str">
        <f t="shared" si="0"/>
        <v>2nd batch</v>
      </c>
      <c r="BX34" s="8" t="str">
        <f t="shared" si="1"/>
        <v>&gt;=500kg</v>
      </c>
      <c r="BY34" t="str">
        <f>IF(OR(IFERROR(VLOOKUP(J34,[1]NC!$L:$L,1,0),0)&lt;&gt;0,BQ34&gt;0),"NG","OK")</f>
        <v>OK</v>
      </c>
      <c r="BZ34" s="7" t="str">
        <f t="shared" si="2"/>
        <v>C260709471</v>
      </c>
      <c r="CA34" t="str">
        <f>IF(OR(IFERROR(VLOOKUP(BZ34,[2]DG!$H:$H,1,0),0)&lt;&gt;0,IFERROR(VLOOKUP(J34,[1]NC!$L:$L,1,0),0)&lt;&gt;0),"Rework",IF(BQ34&gt;0,"Adjustment","OK"))</f>
        <v>OK</v>
      </c>
    </row>
    <row r="35" spans="1:79">
      <c r="A35" s="1" t="s">
        <v>95</v>
      </c>
      <c r="B35" s="10" t="s">
        <v>96</v>
      </c>
      <c r="C35" s="1" t="s">
        <v>277</v>
      </c>
      <c r="D35" s="1" t="s">
        <v>278</v>
      </c>
      <c r="E35" s="1" t="s">
        <v>298</v>
      </c>
      <c r="F35" s="1" t="s">
        <v>299</v>
      </c>
      <c r="G35" s="1" t="s">
        <v>120</v>
      </c>
      <c r="H35" s="1" t="s">
        <v>300</v>
      </c>
      <c r="I35" s="1" t="s">
        <v>282</v>
      </c>
      <c r="J35" s="1" t="s">
        <v>509</v>
      </c>
      <c r="K35" s="1" t="s">
        <v>302</v>
      </c>
      <c r="L35" s="1" t="s">
        <v>106</v>
      </c>
      <c r="M35" s="1" t="s">
        <v>140</v>
      </c>
      <c r="N35" s="1" t="s">
        <v>11</v>
      </c>
      <c r="O35" s="1">
        <v>0</v>
      </c>
      <c r="P35" s="1">
        <v>2177.1999999999998</v>
      </c>
      <c r="Q35" s="1" t="s">
        <v>108</v>
      </c>
      <c r="R35" s="1" t="s">
        <v>109</v>
      </c>
      <c r="S35" s="1">
        <v>6</v>
      </c>
      <c r="T35" s="1">
        <v>13063.2</v>
      </c>
      <c r="U35" s="1">
        <v>0</v>
      </c>
      <c r="V35" s="1">
        <v>0</v>
      </c>
      <c r="W35" s="1">
        <v>280</v>
      </c>
      <c r="X35" s="1">
        <v>1150</v>
      </c>
      <c r="Y35" s="1">
        <v>0</v>
      </c>
      <c r="Z35" s="1">
        <v>2.2999999999999998</v>
      </c>
      <c r="AA35" s="1">
        <v>30</v>
      </c>
      <c r="AB35" s="1" t="s">
        <v>510</v>
      </c>
      <c r="AC35" s="1"/>
      <c r="AD35" s="1"/>
      <c r="AE35" s="1" t="s">
        <v>13</v>
      </c>
      <c r="AF35" s="1" t="s">
        <v>304</v>
      </c>
      <c r="AG35" s="1" t="s">
        <v>305</v>
      </c>
      <c r="AH35" s="1" t="s">
        <v>277</v>
      </c>
      <c r="AI35" s="1" t="s">
        <v>202</v>
      </c>
      <c r="AJ35" s="1"/>
      <c r="AK35" s="1"/>
      <c r="AL35" s="1"/>
      <c r="AM35" s="1" t="s">
        <v>511</v>
      </c>
      <c r="AN35" s="1"/>
      <c r="AO35" s="1">
        <v>46300.665069444403</v>
      </c>
      <c r="AP35" s="1">
        <v>46300.733124999999</v>
      </c>
      <c r="AQ35" s="42">
        <v>46301.0171064815</v>
      </c>
      <c r="AR35" s="1">
        <v>24536</v>
      </c>
      <c r="AS35" s="1">
        <v>32880</v>
      </c>
      <c r="AT35" s="1">
        <v>362</v>
      </c>
      <c r="AU35" s="1">
        <v>583</v>
      </c>
      <c r="AV35" s="1">
        <v>0</v>
      </c>
      <c r="AW35" s="1">
        <v>62</v>
      </c>
      <c r="AX35" s="1">
        <v>0</v>
      </c>
      <c r="AY35" s="1">
        <v>0</v>
      </c>
      <c r="AZ35" s="1">
        <v>-8344</v>
      </c>
      <c r="BA35" s="1">
        <v>74.622871046228695</v>
      </c>
      <c r="BB35" s="1">
        <v>35760</v>
      </c>
      <c r="BC35" s="1">
        <v>0</v>
      </c>
      <c r="BD35" s="1">
        <v>0</v>
      </c>
      <c r="BE35" s="1">
        <v>34780</v>
      </c>
      <c r="BF35" s="1">
        <v>70540</v>
      </c>
      <c r="BG35" s="1">
        <v>32.399410000000003</v>
      </c>
      <c r="BH35" s="1">
        <v>216.5</v>
      </c>
      <c r="BI35" s="1">
        <v>9.9439650000000004E-2</v>
      </c>
      <c r="BJ35" s="1">
        <v>0</v>
      </c>
      <c r="BK35" s="1">
        <v>0</v>
      </c>
      <c r="BL35" s="1">
        <v>0</v>
      </c>
      <c r="BM35" s="1">
        <v>63</v>
      </c>
      <c r="BN35" s="1">
        <v>49</v>
      </c>
      <c r="BO35" s="1">
        <v>0</v>
      </c>
      <c r="BP35" s="1">
        <v>0</v>
      </c>
      <c r="BQ35" s="1"/>
      <c r="BR35" s="1"/>
      <c r="BS35" s="1"/>
      <c r="BT35" s="1"/>
      <c r="BU35" s="1" t="s">
        <v>308</v>
      </c>
      <c r="BV35" s="1" t="str">
        <f t="shared" si="3"/>
        <v>08-OK ST C260687110, GOP C260691790</v>
      </c>
      <c r="BW35" s="7" t="str">
        <f t="shared" si="0"/>
        <v>bulk to bulk</v>
      </c>
      <c r="BX35" s="8" t="str">
        <f t="shared" si="1"/>
        <v>&gt;=500kg</v>
      </c>
      <c r="BY35" t="str">
        <f>IF(OR(IFERROR(VLOOKUP(J35,[1]NC!$L:$L,1,0),0)&lt;&gt;0,BQ35&gt;0),"NG","OK")</f>
        <v>OK</v>
      </c>
      <c r="BZ35" s="7" t="str">
        <f t="shared" ref="BZ35:BZ58" si="4">LEFT(J35,LEN(J35)-1)&amp;RIGHT(J35,1)+1</f>
        <v>C260691731</v>
      </c>
      <c r="CA35" t="str">
        <f>IF(OR(IFERROR(VLOOKUP(BZ35,[2]DG!$H:$H,1,0),0)&lt;&gt;0,IFERROR(VLOOKUP(J35,[1]NC!$L:$L,1,0),0)&lt;&gt;0),"Rework",IF(BQ35&gt;0,"Adjustment","OK"))</f>
        <v>OK</v>
      </c>
    </row>
    <row r="36" spans="1:79">
      <c r="A36" s="1" t="s">
        <v>132</v>
      </c>
      <c r="B36" s="14" t="s">
        <v>96</v>
      </c>
      <c r="C36" s="1" t="s">
        <v>512</v>
      </c>
      <c r="D36" s="1" t="s">
        <v>462</v>
      </c>
      <c r="E36" s="1" t="s">
        <v>513</v>
      </c>
      <c r="F36" s="1" t="s">
        <v>514</v>
      </c>
      <c r="G36" s="1" t="s">
        <v>101</v>
      </c>
      <c r="H36" s="1" t="s">
        <v>515</v>
      </c>
      <c r="I36" s="1" t="s">
        <v>269</v>
      </c>
      <c r="J36" s="1" t="s">
        <v>516</v>
      </c>
      <c r="K36" s="1" t="s">
        <v>257</v>
      </c>
      <c r="L36" s="1" t="s">
        <v>106</v>
      </c>
      <c r="M36" s="1" t="s">
        <v>441</v>
      </c>
      <c r="N36" s="1" t="s">
        <v>11</v>
      </c>
      <c r="O36" s="1">
        <v>0</v>
      </c>
      <c r="P36" s="1">
        <v>1059.8</v>
      </c>
      <c r="Q36" s="1" t="s">
        <v>108</v>
      </c>
      <c r="R36" s="1" t="s">
        <v>109</v>
      </c>
      <c r="S36" s="1">
        <v>12.5</v>
      </c>
      <c r="T36" s="1">
        <v>13247.5</v>
      </c>
      <c r="U36" s="1">
        <v>0</v>
      </c>
      <c r="V36" s="1">
        <v>0</v>
      </c>
      <c r="W36" s="1">
        <v>200</v>
      </c>
      <c r="X36" s="1">
        <v>1200</v>
      </c>
      <c r="Y36" s="1">
        <v>0</v>
      </c>
      <c r="Z36" s="1">
        <v>2.2999999999999998</v>
      </c>
      <c r="AA36" s="1">
        <v>40</v>
      </c>
      <c r="AB36" s="1" t="s">
        <v>517</v>
      </c>
      <c r="AC36" s="1"/>
      <c r="AD36" s="1"/>
      <c r="AE36" s="1" t="s">
        <v>15</v>
      </c>
      <c r="AF36" s="1" t="s">
        <v>518</v>
      </c>
      <c r="AG36" s="1" t="s">
        <v>519</v>
      </c>
      <c r="AH36" s="1" t="s">
        <v>512</v>
      </c>
      <c r="AI36" s="1" t="s">
        <v>144</v>
      </c>
      <c r="AJ36" s="1"/>
      <c r="AK36" s="1"/>
      <c r="AL36" s="1"/>
      <c r="AM36" s="1" t="s">
        <v>520</v>
      </c>
      <c r="AN36" s="1"/>
      <c r="AO36" s="1">
        <v>46300.434687499997</v>
      </c>
      <c r="AP36" s="1">
        <v>46300.534097222197</v>
      </c>
      <c r="AQ36" s="42">
        <v>46301.023425925901</v>
      </c>
      <c r="AR36" s="1">
        <v>42278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42278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665.23720000000003</v>
      </c>
      <c r="BP36" s="1">
        <v>0</v>
      </c>
      <c r="BQ36" s="1"/>
      <c r="BR36" s="1"/>
      <c r="BS36" s="1"/>
      <c r="BT36" s="1"/>
      <c r="BU36" s="1" t="s">
        <v>521</v>
      </c>
      <c r="BV36" s="1" t="str">
        <f t="shared" si="3"/>
        <v>04-NG ST C260710740</v>
      </c>
      <c r="BW36" s="7" t="str">
        <f t="shared" si="0"/>
        <v>2nd batch</v>
      </c>
      <c r="BX36" s="8" t="str">
        <f t="shared" si="1"/>
        <v>&gt;=500kg</v>
      </c>
      <c r="BY36" t="str">
        <f>IF(OR(IFERROR(VLOOKUP(J36,[1]NC!$L:$L,1,0),0)&lt;&gt;0,BQ36&gt;0),"NG","OK")</f>
        <v>NG</v>
      </c>
      <c r="BZ36" s="7" t="str">
        <f t="shared" si="4"/>
        <v>C260710731</v>
      </c>
      <c r="CA36" t="str">
        <f>IF(OR(IFERROR(VLOOKUP(BZ36,[2]DG!$H:$H,1,0),0)&lt;&gt;0,IFERROR(VLOOKUP(J36,[1]NC!$L:$L,1,0),0)&lt;&gt;0),"Rework",IF(BQ36&gt;0,"Adjustment","OK"))</f>
        <v>Rework</v>
      </c>
    </row>
    <row r="37" spans="1:79">
      <c r="A37" s="1" t="s">
        <v>132</v>
      </c>
      <c r="B37" s="33" t="s">
        <v>96</v>
      </c>
      <c r="C37" s="1" t="s">
        <v>522</v>
      </c>
      <c r="D37" s="1" t="s">
        <v>523</v>
      </c>
      <c r="E37" s="1" t="s">
        <v>524</v>
      </c>
      <c r="F37" s="1" t="s">
        <v>525</v>
      </c>
      <c r="G37" s="1" t="s">
        <v>101</v>
      </c>
      <c r="H37" s="1" t="s">
        <v>526</v>
      </c>
      <c r="I37" s="1" t="s">
        <v>255</v>
      </c>
      <c r="J37" s="1" t="s">
        <v>527</v>
      </c>
      <c r="K37" s="1" t="s">
        <v>528</v>
      </c>
      <c r="L37" s="1" t="s">
        <v>106</v>
      </c>
      <c r="M37" s="1" t="s">
        <v>393</v>
      </c>
      <c r="N37" s="1" t="s">
        <v>11</v>
      </c>
      <c r="O37" s="1">
        <v>0</v>
      </c>
      <c r="P37" s="1">
        <v>15</v>
      </c>
      <c r="Q37" s="1" t="s">
        <v>108</v>
      </c>
      <c r="R37" s="1" t="s">
        <v>109</v>
      </c>
      <c r="S37" s="1">
        <v>13</v>
      </c>
      <c r="T37" s="1">
        <v>195</v>
      </c>
      <c r="U37" s="1">
        <v>0</v>
      </c>
      <c r="V37" s="1">
        <v>0</v>
      </c>
      <c r="W37" s="1">
        <v>150</v>
      </c>
      <c r="X37" s="1">
        <v>800</v>
      </c>
      <c r="Y37" s="1">
        <v>0</v>
      </c>
      <c r="Z37" s="1">
        <v>1.8</v>
      </c>
      <c r="AA37" s="1">
        <v>30</v>
      </c>
      <c r="AB37" s="1" t="s">
        <v>529</v>
      </c>
      <c r="AC37" s="1"/>
      <c r="AD37" s="1"/>
      <c r="AE37" s="1" t="s">
        <v>15</v>
      </c>
      <c r="AF37" s="1" t="s">
        <v>530</v>
      </c>
      <c r="AG37" s="1" t="s">
        <v>531</v>
      </c>
      <c r="AH37" s="1" t="s">
        <v>522</v>
      </c>
      <c r="AI37" s="1" t="s">
        <v>144</v>
      </c>
      <c r="AJ37" s="1"/>
      <c r="AK37" s="1" t="s">
        <v>471</v>
      </c>
      <c r="AL37" s="1" t="s">
        <v>532</v>
      </c>
      <c r="AM37" s="1" t="s">
        <v>533</v>
      </c>
      <c r="AN37" s="1"/>
      <c r="AO37" s="1">
        <v>46298.847407407397</v>
      </c>
      <c r="AP37" s="1">
        <v>46300.621666666702</v>
      </c>
      <c r="AQ37" s="42">
        <v>46301.034444444398</v>
      </c>
      <c r="AR37" s="1">
        <v>35664</v>
      </c>
      <c r="AS37" s="1">
        <v>34200</v>
      </c>
      <c r="AT37" s="1">
        <v>0</v>
      </c>
      <c r="AU37" s="1">
        <v>2072</v>
      </c>
      <c r="AV37" s="1">
        <v>0</v>
      </c>
      <c r="AW37" s="1">
        <v>35</v>
      </c>
      <c r="AX37" s="1">
        <v>0</v>
      </c>
      <c r="AY37" s="1">
        <v>0</v>
      </c>
      <c r="AZ37" s="1">
        <v>1464</v>
      </c>
      <c r="BA37" s="1">
        <v>104.280701754386</v>
      </c>
      <c r="BB37" s="1">
        <v>504</v>
      </c>
      <c r="BC37" s="1">
        <v>672</v>
      </c>
      <c r="BD37" s="1">
        <v>0</v>
      </c>
      <c r="BE37" s="1">
        <v>195</v>
      </c>
      <c r="BF37" s="1">
        <v>1371</v>
      </c>
      <c r="BG37" s="1">
        <v>91.4</v>
      </c>
      <c r="BH37" s="1">
        <v>13</v>
      </c>
      <c r="BI37" s="1">
        <v>0.86666670000000001</v>
      </c>
      <c r="BJ37" s="1">
        <v>0</v>
      </c>
      <c r="BK37" s="1">
        <v>0</v>
      </c>
      <c r="BL37" s="1">
        <v>0</v>
      </c>
      <c r="BM37" s="1">
        <v>17</v>
      </c>
      <c r="BN37" s="1">
        <v>11</v>
      </c>
      <c r="BO37" s="1">
        <v>6.3912120000000003</v>
      </c>
      <c r="BP37" s="1">
        <v>0</v>
      </c>
      <c r="BQ37" s="1"/>
      <c r="BR37" s="1"/>
      <c r="BS37" s="1"/>
      <c r="BT37" s="1"/>
      <c r="BU37" s="1" t="s">
        <v>534</v>
      </c>
      <c r="BV37" s="1" t="str">
        <f t="shared" ref="BV37:BV58" si="5">AJ37&amp;AK37&amp;AL37&amp;AM37&amp;AN37</f>
        <v>53CHOWWA0105-NG BO SS20, THEO DOI</v>
      </c>
      <c r="BW37" s="7" t="str">
        <f t="shared" si="0"/>
        <v>2nd batch</v>
      </c>
      <c r="BX37" s="8" t="str">
        <f t="shared" si="1"/>
        <v>Small Machine</v>
      </c>
      <c r="BY37" t="str">
        <f>IF(OR(IFERROR(VLOOKUP(J37,[1]NC!$L:$L,1,0),0)&lt;&gt;0,BQ37&gt;0),"NG","OK")</f>
        <v>OK</v>
      </c>
      <c r="BZ37" s="7" t="str">
        <f t="shared" si="4"/>
        <v>C260712341</v>
      </c>
      <c r="CA37" t="str">
        <f>IF(OR(IFERROR(VLOOKUP(BZ37,[2]DG!$H:$H,1,0),0)&lt;&gt;0,IFERROR(VLOOKUP(J37,[1]NC!$L:$L,1,0),0)&lt;&gt;0),"Rework",IF(BQ37&gt;0,"Adjustment","OK"))</f>
        <v>OK</v>
      </c>
    </row>
    <row r="38" spans="1:79">
      <c r="A38" s="1" t="s">
        <v>263</v>
      </c>
      <c r="B38" s="18" t="s">
        <v>96</v>
      </c>
      <c r="C38" s="1" t="s">
        <v>264</v>
      </c>
      <c r="D38" s="1" t="s">
        <v>265</v>
      </c>
      <c r="E38" s="1" t="s">
        <v>266</v>
      </c>
      <c r="F38" s="1" t="s">
        <v>267</v>
      </c>
      <c r="G38" s="1" t="s">
        <v>101</v>
      </c>
      <c r="H38" s="1" t="s">
        <v>535</v>
      </c>
      <c r="I38" s="1" t="s">
        <v>269</v>
      </c>
      <c r="J38" s="1" t="s">
        <v>536</v>
      </c>
      <c r="K38" s="1" t="s">
        <v>257</v>
      </c>
      <c r="L38" s="1" t="s">
        <v>106</v>
      </c>
      <c r="M38" s="1" t="s">
        <v>140</v>
      </c>
      <c r="N38" s="1" t="s">
        <v>11</v>
      </c>
      <c r="O38" s="1">
        <v>0</v>
      </c>
      <c r="P38" s="1">
        <v>1115.9000000000001</v>
      </c>
      <c r="Q38" s="1" t="s">
        <v>108</v>
      </c>
      <c r="R38" s="1" t="s">
        <v>109</v>
      </c>
      <c r="S38" s="1">
        <v>12.5</v>
      </c>
      <c r="T38" s="1">
        <v>13948.75</v>
      </c>
      <c r="U38" s="1">
        <v>0</v>
      </c>
      <c r="V38" s="1">
        <v>0</v>
      </c>
      <c r="W38" s="1">
        <v>200</v>
      </c>
      <c r="X38" s="1">
        <v>1200</v>
      </c>
      <c r="Y38" s="1">
        <v>0</v>
      </c>
      <c r="Z38" s="1">
        <v>2.2999999999999998</v>
      </c>
      <c r="AA38" s="1">
        <v>40</v>
      </c>
      <c r="AB38" s="1" t="s">
        <v>537</v>
      </c>
      <c r="AC38" s="1"/>
      <c r="AD38" s="1"/>
      <c r="AE38" s="1" t="s">
        <v>15</v>
      </c>
      <c r="AF38" s="1" t="s">
        <v>272</v>
      </c>
      <c r="AG38" s="1" t="s">
        <v>273</v>
      </c>
      <c r="AH38" s="1" t="s">
        <v>264</v>
      </c>
      <c r="AI38" s="1" t="s">
        <v>144</v>
      </c>
      <c r="AJ38" s="1"/>
      <c r="AK38" s="1"/>
      <c r="AL38" s="1"/>
      <c r="AM38" s="1" t="s">
        <v>275</v>
      </c>
      <c r="AN38" s="1"/>
      <c r="AO38" s="1">
        <v>46299.677881944401</v>
      </c>
      <c r="AP38" s="1">
        <v>46300.518472222197</v>
      </c>
      <c r="AQ38" s="42">
        <v>46301.035833333299</v>
      </c>
      <c r="AR38" s="1">
        <v>44700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44700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966.69370000000004</v>
      </c>
      <c r="BP38" s="1">
        <v>0</v>
      </c>
      <c r="BQ38" s="1"/>
      <c r="BR38" s="1"/>
      <c r="BS38" s="1"/>
      <c r="BT38" s="1"/>
      <c r="BU38" s="1" t="s">
        <v>276</v>
      </c>
      <c r="BV38" s="1" t="str">
        <f t="shared" si="5"/>
        <v>08-OK ST C260695190 (MA)</v>
      </c>
      <c r="BW38" s="7" t="str">
        <f t="shared" si="0"/>
        <v>bulk to bulk</v>
      </c>
      <c r="BX38" s="8" t="str">
        <f t="shared" si="1"/>
        <v>&gt;=500kg</v>
      </c>
      <c r="BY38" t="str">
        <f>IF(OR(IFERROR(VLOOKUP(J38,[1]NC!$L:$L,1,0),0)&lt;&gt;0,BQ38&gt;0),"NG","OK")</f>
        <v>OK</v>
      </c>
      <c r="BZ38" s="7" t="str">
        <f t="shared" si="4"/>
        <v>C260715781</v>
      </c>
      <c r="CA38" t="str">
        <f>IF(OR(IFERROR(VLOOKUP(BZ38,[2]DG!$H:$H,1,0),0)&lt;&gt;0,IFERROR(VLOOKUP(J38,[1]NC!$L:$L,1,0),0)&lt;&gt;0),"Rework",IF(BQ38&gt;0,"Adjustment","OK"))</f>
        <v>OK</v>
      </c>
    </row>
    <row r="39" spans="1:79">
      <c r="A39" s="1" t="s">
        <v>538</v>
      </c>
      <c r="B39" s="34" t="s">
        <v>96</v>
      </c>
      <c r="C39" s="1" t="s">
        <v>539</v>
      </c>
      <c r="D39" s="1" t="s">
        <v>386</v>
      </c>
      <c r="E39" s="1" t="s">
        <v>540</v>
      </c>
      <c r="F39" s="1" t="s">
        <v>541</v>
      </c>
      <c r="G39" s="1" t="s">
        <v>120</v>
      </c>
      <c r="H39" s="1" t="s">
        <v>542</v>
      </c>
      <c r="I39" s="1" t="s">
        <v>255</v>
      </c>
      <c r="J39" s="1" t="s">
        <v>543</v>
      </c>
      <c r="K39" s="1" t="s">
        <v>544</v>
      </c>
      <c r="L39" s="1" t="s">
        <v>106</v>
      </c>
      <c r="M39" s="1" t="s">
        <v>241</v>
      </c>
      <c r="N39" s="1" t="s">
        <v>11</v>
      </c>
      <c r="O39" s="1">
        <v>0</v>
      </c>
      <c r="P39" s="1">
        <v>15</v>
      </c>
      <c r="Q39" s="1" t="s">
        <v>108</v>
      </c>
      <c r="R39" s="1" t="s">
        <v>109</v>
      </c>
      <c r="S39" s="1">
        <v>13</v>
      </c>
      <c r="T39" s="1">
        <v>195</v>
      </c>
      <c r="U39" s="1">
        <v>0</v>
      </c>
      <c r="V39" s="1">
        <v>0</v>
      </c>
      <c r="W39" s="1">
        <v>150</v>
      </c>
      <c r="X39" s="1">
        <v>800</v>
      </c>
      <c r="Y39" s="1">
        <v>0</v>
      </c>
      <c r="Z39" s="1">
        <v>1.8</v>
      </c>
      <c r="AA39" s="1">
        <v>30</v>
      </c>
      <c r="AB39" s="1" t="s">
        <v>545</v>
      </c>
      <c r="AC39" s="1"/>
      <c r="AD39" s="1"/>
      <c r="AE39" s="1" t="s">
        <v>15</v>
      </c>
      <c r="AF39" s="1" t="s">
        <v>546</v>
      </c>
      <c r="AG39" s="1" t="s">
        <v>547</v>
      </c>
      <c r="AH39" s="1" t="s">
        <v>539</v>
      </c>
      <c r="AI39" s="1" t="s">
        <v>144</v>
      </c>
      <c r="AJ39" s="1" t="s">
        <v>548</v>
      </c>
      <c r="AK39" s="1" t="s">
        <v>549</v>
      </c>
      <c r="AL39" s="1"/>
      <c r="AM39" s="1" t="s">
        <v>550</v>
      </c>
      <c r="AN39" s="1"/>
      <c r="AO39" s="1">
        <v>46299.753206018497</v>
      </c>
      <c r="AP39" s="1">
        <v>46300.340648148202</v>
      </c>
      <c r="AQ39" s="42">
        <v>46301.079687500001</v>
      </c>
      <c r="AR39" s="1">
        <v>63853</v>
      </c>
      <c r="AS39" s="1">
        <v>30420</v>
      </c>
      <c r="AT39" s="1">
        <v>28</v>
      </c>
      <c r="AU39" s="1">
        <v>3852</v>
      </c>
      <c r="AV39" s="1">
        <v>34720</v>
      </c>
      <c r="AW39" s="1">
        <v>24</v>
      </c>
      <c r="AX39" s="1">
        <v>0</v>
      </c>
      <c r="AY39" s="1">
        <v>0</v>
      </c>
      <c r="AZ39" s="1">
        <v>33433</v>
      </c>
      <c r="BA39" s="1">
        <v>209.90466798159099</v>
      </c>
      <c r="BB39" s="1">
        <v>672</v>
      </c>
      <c r="BC39" s="1">
        <v>0</v>
      </c>
      <c r="BD39" s="1">
        <v>0</v>
      </c>
      <c r="BE39" s="1">
        <v>195</v>
      </c>
      <c r="BF39" s="1">
        <v>867</v>
      </c>
      <c r="BG39" s="1">
        <v>57.8</v>
      </c>
      <c r="BH39" s="1">
        <v>50</v>
      </c>
      <c r="BI39" s="1">
        <v>3.3333330000000001</v>
      </c>
      <c r="BJ39" s="1">
        <v>131</v>
      </c>
      <c r="BK39" s="1">
        <v>8.7333339999999993</v>
      </c>
      <c r="BL39" s="1">
        <v>3</v>
      </c>
      <c r="BM39" s="1">
        <v>31</v>
      </c>
      <c r="BN39" s="1">
        <v>13</v>
      </c>
      <c r="BO39" s="1">
        <v>0.1607278</v>
      </c>
      <c r="BP39" s="1">
        <v>0</v>
      </c>
      <c r="BQ39" s="35">
        <v>3</v>
      </c>
      <c r="BR39" s="35">
        <v>0</v>
      </c>
      <c r="BS39" s="35">
        <v>3</v>
      </c>
      <c r="BT39" s="35">
        <v>0</v>
      </c>
      <c r="BU39" s="1" t="s">
        <v>551</v>
      </c>
      <c r="BV39" s="1" t="str">
        <f t="shared" si="5"/>
        <v>dc dap mau1D-0301-NG, FYR0048335</v>
      </c>
      <c r="BW39" s="7" t="str">
        <f t="shared" si="0"/>
        <v>lab to bulk</v>
      </c>
      <c r="BX39" s="8" t="str">
        <f t="shared" si="1"/>
        <v>Small Machine</v>
      </c>
      <c r="BY39" t="str">
        <f>IF(OR(IFERROR(VLOOKUP(J39,[1]NC!$L:$L,1,0),0)&lt;&gt;0,BQ39&gt;0),"NG","OK")</f>
        <v>NG</v>
      </c>
      <c r="BZ39" s="7" t="str">
        <f t="shared" si="4"/>
        <v>C260708461</v>
      </c>
      <c r="CA39" t="str">
        <f>IF(OR(IFERROR(VLOOKUP(BZ39,[2]DG!$H:$H,1,0),0)&lt;&gt;0,IFERROR(VLOOKUP(J39,[1]NC!$L:$L,1,0),0)&lt;&gt;0),"Rework",IF(BQ39&gt;0,"Adjustment","OK"))</f>
        <v>Adjustment</v>
      </c>
    </row>
    <row r="40" spans="1:79">
      <c r="A40" s="1" t="s">
        <v>95</v>
      </c>
      <c r="B40" s="36" t="s">
        <v>96</v>
      </c>
      <c r="C40" s="1" t="s">
        <v>341</v>
      </c>
      <c r="D40" s="1" t="s">
        <v>342</v>
      </c>
      <c r="E40" s="1" t="s">
        <v>552</v>
      </c>
      <c r="F40" s="1" t="s">
        <v>553</v>
      </c>
      <c r="G40" s="1" t="s">
        <v>101</v>
      </c>
      <c r="H40" s="1" t="s">
        <v>554</v>
      </c>
      <c r="I40" s="1" t="s">
        <v>154</v>
      </c>
      <c r="J40" s="1" t="s">
        <v>555</v>
      </c>
      <c r="K40" s="1" t="s">
        <v>556</v>
      </c>
      <c r="L40" s="1" t="s">
        <v>106</v>
      </c>
      <c r="M40" s="1" t="s">
        <v>441</v>
      </c>
      <c r="N40" s="1" t="s">
        <v>11</v>
      </c>
      <c r="O40" s="1">
        <v>0</v>
      </c>
      <c r="P40" s="1">
        <v>783</v>
      </c>
      <c r="Q40" s="1" t="s">
        <v>108</v>
      </c>
      <c r="R40" s="1" t="s">
        <v>109</v>
      </c>
      <c r="S40" s="1">
        <v>5.5</v>
      </c>
      <c r="T40" s="1">
        <v>4306.5</v>
      </c>
      <c r="U40" s="1">
        <v>0</v>
      </c>
      <c r="V40" s="1">
        <v>0</v>
      </c>
      <c r="W40" s="1">
        <v>220</v>
      </c>
      <c r="X40" s="1">
        <v>80</v>
      </c>
      <c r="Y40" s="1">
        <v>0</v>
      </c>
      <c r="Z40" s="1">
        <v>0</v>
      </c>
      <c r="AA40" s="1">
        <v>40</v>
      </c>
      <c r="AB40" s="1" t="s">
        <v>557</v>
      </c>
      <c r="AC40" s="1"/>
      <c r="AD40" s="1"/>
      <c r="AE40" s="1" t="s">
        <v>14</v>
      </c>
      <c r="AF40" s="1" t="s">
        <v>558</v>
      </c>
      <c r="AG40" s="1" t="s">
        <v>559</v>
      </c>
      <c r="AH40" s="1" t="s">
        <v>341</v>
      </c>
      <c r="AI40" s="1" t="s">
        <v>351</v>
      </c>
      <c r="AJ40" s="1"/>
      <c r="AK40" s="1" t="s">
        <v>560</v>
      </c>
      <c r="AL40" s="1"/>
      <c r="AM40" s="1" t="s">
        <v>561</v>
      </c>
      <c r="AN40" s="1"/>
      <c r="AO40" s="1">
        <v>46299.5223148148</v>
      </c>
      <c r="AP40" s="1">
        <v>46300.298715277801</v>
      </c>
      <c r="AQ40" s="42">
        <v>46301.0835069444</v>
      </c>
      <c r="AR40" s="1">
        <v>67806</v>
      </c>
      <c r="AS40" s="1">
        <v>78300</v>
      </c>
      <c r="AT40" s="1">
        <v>23</v>
      </c>
      <c r="AU40" s="1">
        <v>2916</v>
      </c>
      <c r="AV40" s="1">
        <v>0</v>
      </c>
      <c r="AW40" s="1">
        <v>205</v>
      </c>
      <c r="AX40" s="1">
        <v>0</v>
      </c>
      <c r="AY40" s="1">
        <v>0</v>
      </c>
      <c r="AZ40" s="1">
        <v>-10494</v>
      </c>
      <c r="BA40" s="1">
        <v>86.597701149425305</v>
      </c>
      <c r="BB40" s="1">
        <v>26422</v>
      </c>
      <c r="BC40" s="1">
        <v>10334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641</v>
      </c>
      <c r="BK40" s="1">
        <v>0.81864630000000005</v>
      </c>
      <c r="BL40" s="1">
        <v>0</v>
      </c>
      <c r="BM40" s="1">
        <v>27</v>
      </c>
      <c r="BN40" s="1">
        <v>37</v>
      </c>
      <c r="BO40" s="1">
        <v>45.934640000000002</v>
      </c>
      <c r="BP40" s="1">
        <v>0</v>
      </c>
      <c r="BQ40" s="1"/>
      <c r="BR40" s="1"/>
      <c r="BS40" s="1"/>
      <c r="BT40" s="1"/>
      <c r="BU40" s="1" t="s">
        <v>562</v>
      </c>
      <c r="BV40" s="1" t="str">
        <f t="shared" si="5"/>
        <v>*CHO XE RA VAI *04-NG ST C260712960, GOP C260712950</v>
      </c>
      <c r="BW40" s="7" t="str">
        <f t="shared" si="0"/>
        <v>2nd batch</v>
      </c>
      <c r="BX40" s="8" t="str">
        <f t="shared" si="1"/>
        <v>&gt;=500kg</v>
      </c>
      <c r="BY40" t="str">
        <f>IF(OR(IFERROR(VLOOKUP(J40,[1]NC!$L:$L,1,0),0)&lt;&gt;0,BQ40&gt;0),"NG","OK")</f>
        <v>NG</v>
      </c>
      <c r="BZ40" s="7" t="str">
        <f t="shared" si="4"/>
        <v>C260712961</v>
      </c>
      <c r="CA40" t="str">
        <f>IF(OR(IFERROR(VLOOKUP(BZ40,[2]DG!$H:$H,1,0),0)&lt;&gt;0,IFERROR(VLOOKUP(J40,[1]NC!$L:$L,1,0),0)&lt;&gt;0),"Rework",IF(BQ40&gt;0,"Adjustment","OK"))</f>
        <v>Rework</v>
      </c>
    </row>
    <row r="41" spans="1:79">
      <c r="A41" s="1" t="s">
        <v>95</v>
      </c>
      <c r="B41" s="14" t="s">
        <v>96</v>
      </c>
      <c r="C41" s="1" t="s">
        <v>563</v>
      </c>
      <c r="D41" s="1" t="s">
        <v>178</v>
      </c>
      <c r="E41" s="1" t="s">
        <v>564</v>
      </c>
      <c r="F41" s="1" t="s">
        <v>565</v>
      </c>
      <c r="G41" s="1" t="s">
        <v>101</v>
      </c>
      <c r="H41" s="1" t="s">
        <v>566</v>
      </c>
      <c r="I41" s="1" t="s">
        <v>154</v>
      </c>
      <c r="J41" s="1" t="s">
        <v>567</v>
      </c>
      <c r="K41" s="1" t="s">
        <v>568</v>
      </c>
      <c r="L41" s="1" t="s">
        <v>106</v>
      </c>
      <c r="M41" s="1" t="s">
        <v>441</v>
      </c>
      <c r="N41" s="1" t="s">
        <v>11</v>
      </c>
      <c r="O41" s="1">
        <v>0</v>
      </c>
      <c r="P41" s="1">
        <v>1039</v>
      </c>
      <c r="Q41" s="1" t="s">
        <v>108</v>
      </c>
      <c r="R41" s="1" t="s">
        <v>109</v>
      </c>
      <c r="S41" s="1">
        <v>5.5</v>
      </c>
      <c r="T41" s="1">
        <v>5714.5</v>
      </c>
      <c r="U41" s="1">
        <v>0</v>
      </c>
      <c r="V41" s="1">
        <v>0</v>
      </c>
      <c r="W41" s="1">
        <v>200</v>
      </c>
      <c r="X41" s="1">
        <v>1200</v>
      </c>
      <c r="Y41" s="1">
        <v>0</v>
      </c>
      <c r="Z41" s="1">
        <v>2</v>
      </c>
      <c r="AA41" s="1">
        <v>40</v>
      </c>
      <c r="AB41" s="1" t="s">
        <v>569</v>
      </c>
      <c r="AC41" s="1"/>
      <c r="AD41" s="1"/>
      <c r="AE41" s="1" t="s">
        <v>14</v>
      </c>
      <c r="AF41" s="1" t="s">
        <v>570</v>
      </c>
      <c r="AG41" s="1" t="s">
        <v>571</v>
      </c>
      <c r="AH41" s="1" t="s">
        <v>563</v>
      </c>
      <c r="AI41" s="1" t="s">
        <v>188</v>
      </c>
      <c r="AJ41" s="1"/>
      <c r="AK41" s="1"/>
      <c r="AL41" s="1"/>
      <c r="AM41" s="1" t="s">
        <v>572</v>
      </c>
      <c r="AN41" s="1"/>
      <c r="AO41" s="1">
        <v>46299.725046296298</v>
      </c>
      <c r="AP41" s="1">
        <v>46300.289745370399</v>
      </c>
      <c r="AQ41" s="42">
        <v>46301.137523148202</v>
      </c>
      <c r="AR41" s="1">
        <v>73248</v>
      </c>
      <c r="AS41" s="1">
        <v>99720</v>
      </c>
      <c r="AT41" s="1">
        <v>75</v>
      </c>
      <c r="AU41" s="1">
        <v>7147</v>
      </c>
      <c r="AV41" s="1">
        <v>0</v>
      </c>
      <c r="AW41" s="1">
        <v>96</v>
      </c>
      <c r="AX41" s="1">
        <v>0</v>
      </c>
      <c r="AY41" s="1">
        <v>0</v>
      </c>
      <c r="AZ41" s="1">
        <v>-26472</v>
      </c>
      <c r="BA41" s="1">
        <v>73.453670276775</v>
      </c>
      <c r="BB41" s="1">
        <v>26720</v>
      </c>
      <c r="BC41" s="1">
        <v>43680</v>
      </c>
      <c r="BD41" s="1">
        <v>0</v>
      </c>
      <c r="BE41" s="1">
        <v>5670</v>
      </c>
      <c r="BF41" s="1">
        <v>76070</v>
      </c>
      <c r="BG41" s="1">
        <v>73.21463</v>
      </c>
      <c r="BH41" s="1">
        <v>313</v>
      </c>
      <c r="BI41" s="1">
        <v>0.3012512</v>
      </c>
      <c r="BJ41" s="1">
        <v>2563</v>
      </c>
      <c r="BK41" s="1">
        <v>2.4667949999999998</v>
      </c>
      <c r="BL41" s="1">
        <v>0</v>
      </c>
      <c r="BM41" s="1">
        <v>83</v>
      </c>
      <c r="BN41" s="1">
        <v>16</v>
      </c>
      <c r="BO41" s="1">
        <v>356.7004</v>
      </c>
      <c r="BP41" s="1">
        <v>0</v>
      </c>
      <c r="BQ41" s="1"/>
      <c r="BR41" s="1"/>
      <c r="BS41" s="1"/>
      <c r="BT41" s="1"/>
      <c r="BU41" s="1" t="s">
        <v>493</v>
      </c>
      <c r="BV41" s="1" t="str">
        <f t="shared" si="5"/>
        <v>04-NG ST C260707430</v>
      </c>
      <c r="BW41" s="7" t="str">
        <f t="shared" si="0"/>
        <v>2nd batch</v>
      </c>
      <c r="BX41" s="8" t="str">
        <f t="shared" si="1"/>
        <v>&gt;=500kg</v>
      </c>
      <c r="BY41" t="str">
        <f>IF(OR(IFERROR(VLOOKUP(J41,[1]NC!$L:$L,1,0),0)&lt;&gt;0,BQ41&gt;0),"NG","OK")</f>
        <v>OK</v>
      </c>
      <c r="BZ41" s="7" t="str">
        <f t="shared" si="4"/>
        <v>C260707461</v>
      </c>
      <c r="CA41" t="str">
        <f>IF(OR(IFERROR(VLOOKUP(BZ41,[2]DG!$H:$H,1,0),0)&lt;&gt;0,IFERROR(VLOOKUP(J41,[1]NC!$L:$L,1,0),0)&lt;&gt;0),"Rework",IF(BQ41&gt;0,"Adjustment","OK"))</f>
        <v>OK</v>
      </c>
    </row>
    <row r="42" spans="1:79">
      <c r="A42" s="1" t="s">
        <v>95</v>
      </c>
      <c r="B42" s="37" t="s">
        <v>96</v>
      </c>
      <c r="C42" s="1" t="s">
        <v>573</v>
      </c>
      <c r="D42" s="1" t="s">
        <v>479</v>
      </c>
      <c r="E42" s="1" t="s">
        <v>574</v>
      </c>
      <c r="F42" s="1" t="s">
        <v>575</v>
      </c>
      <c r="G42" s="1" t="s">
        <v>120</v>
      </c>
      <c r="H42" s="1" t="s">
        <v>576</v>
      </c>
      <c r="I42" s="1" t="s">
        <v>499</v>
      </c>
      <c r="J42" s="1" t="s">
        <v>577</v>
      </c>
      <c r="K42" s="1" t="s">
        <v>578</v>
      </c>
      <c r="L42" s="1" t="s">
        <v>106</v>
      </c>
      <c r="M42" s="1" t="s">
        <v>107</v>
      </c>
      <c r="N42" s="1" t="s">
        <v>12</v>
      </c>
      <c r="O42" s="1">
        <v>0</v>
      </c>
      <c r="P42" s="1">
        <v>254.5</v>
      </c>
      <c r="Q42" s="1" t="s">
        <v>108</v>
      </c>
      <c r="R42" s="1" t="s">
        <v>109</v>
      </c>
      <c r="S42" s="1">
        <v>6.5</v>
      </c>
      <c r="T42" s="1">
        <v>1654.25</v>
      </c>
      <c r="U42" s="1">
        <v>0</v>
      </c>
      <c r="V42" s="1">
        <v>0</v>
      </c>
      <c r="W42" s="1">
        <v>240</v>
      </c>
      <c r="X42" s="1">
        <v>1000</v>
      </c>
      <c r="Y42" s="1">
        <v>0</v>
      </c>
      <c r="Z42" s="1">
        <v>2.2999999999999998</v>
      </c>
      <c r="AA42" s="1">
        <v>30</v>
      </c>
      <c r="AB42" s="1" t="s">
        <v>579</v>
      </c>
      <c r="AC42" s="1"/>
      <c r="AD42" s="1"/>
      <c r="AE42" s="1" t="s">
        <v>13</v>
      </c>
      <c r="AF42" s="1" t="s">
        <v>443</v>
      </c>
      <c r="AG42" s="1" t="s">
        <v>580</v>
      </c>
      <c r="AH42" s="1" t="s">
        <v>573</v>
      </c>
      <c r="AI42" s="1" t="s">
        <v>202</v>
      </c>
      <c r="AJ42" s="1" t="s">
        <v>581</v>
      </c>
      <c r="AK42" s="1" t="s">
        <v>582</v>
      </c>
      <c r="AL42" s="1"/>
      <c r="AM42" s="1" t="s">
        <v>477</v>
      </c>
      <c r="AN42" s="1"/>
      <c r="AO42" s="1">
        <v>46300.4518634259</v>
      </c>
      <c r="AP42" s="1">
        <v>46300.751608796301</v>
      </c>
      <c r="AQ42" s="42">
        <v>46301.151192129597</v>
      </c>
      <c r="AR42" s="1">
        <v>34524</v>
      </c>
      <c r="AS42" s="1">
        <v>57060</v>
      </c>
      <c r="AT42" s="1">
        <v>17</v>
      </c>
      <c r="AU42" s="1">
        <v>1675</v>
      </c>
      <c r="AV42" s="1">
        <v>0</v>
      </c>
      <c r="AW42" s="1">
        <v>0</v>
      </c>
      <c r="AX42" s="1">
        <v>0</v>
      </c>
      <c r="AY42" s="1">
        <v>0</v>
      </c>
      <c r="AZ42" s="1">
        <v>-22536</v>
      </c>
      <c r="BA42" s="1">
        <v>60.5047318611987</v>
      </c>
      <c r="BB42" s="1">
        <v>8620</v>
      </c>
      <c r="BC42" s="1">
        <v>2140</v>
      </c>
      <c r="BD42" s="1">
        <v>0</v>
      </c>
      <c r="BE42" s="1">
        <v>0</v>
      </c>
      <c r="BF42" s="1">
        <v>10760</v>
      </c>
      <c r="BG42" s="1">
        <v>42.278979999999997</v>
      </c>
      <c r="BH42" s="1">
        <v>72</v>
      </c>
      <c r="BI42" s="1">
        <v>0.28290769999999998</v>
      </c>
      <c r="BJ42" s="1">
        <v>274</v>
      </c>
      <c r="BK42" s="1">
        <v>1.0766210000000001</v>
      </c>
      <c r="BL42" s="1">
        <v>0</v>
      </c>
      <c r="BM42" s="1">
        <v>29</v>
      </c>
      <c r="BN42" s="1">
        <v>8</v>
      </c>
      <c r="BO42" s="1">
        <v>1.3950480000000001</v>
      </c>
      <c r="BP42" s="1">
        <v>0</v>
      </c>
      <c r="BQ42" s="1"/>
      <c r="BR42" s="1"/>
      <c r="BS42" s="1"/>
      <c r="BT42" s="1"/>
      <c r="BU42" s="1" t="s">
        <v>583</v>
      </c>
      <c r="BV42" s="1" t="str">
        <f t="shared" si="5"/>
        <v>TY TRONG 1.025CHO XE RA VAI03-NG, THE DAU</v>
      </c>
      <c r="BW42" s="7" t="str">
        <f t="shared" si="0"/>
        <v>2nd batch</v>
      </c>
      <c r="BX42" s="8" t="str">
        <f t="shared" si="1"/>
        <v>&gt;=500kg</v>
      </c>
      <c r="BY42" t="str">
        <f>IF(OR(IFERROR(VLOOKUP(J42,[1]NC!$L:$L,1,0),0)&lt;&gt;0,BQ42&gt;0),"NG","OK")</f>
        <v>OK</v>
      </c>
      <c r="BZ42" s="7" t="str">
        <f t="shared" si="4"/>
        <v>C260714691</v>
      </c>
      <c r="CA42" t="str">
        <f>IF(OR(IFERROR(VLOOKUP(BZ42,[2]DG!$H:$H,1,0),0)&lt;&gt;0,IFERROR(VLOOKUP(J42,[1]NC!$L:$L,1,0),0)&lt;&gt;0),"Rework",IF(BQ42&gt;0,"Adjustment","OK"))</f>
        <v>OK</v>
      </c>
    </row>
    <row r="43" spans="1:79">
      <c r="A43" s="1" t="s">
        <v>148</v>
      </c>
      <c r="B43" s="14" t="s">
        <v>96</v>
      </c>
      <c r="C43" s="1" t="s">
        <v>584</v>
      </c>
      <c r="D43" s="1" t="s">
        <v>585</v>
      </c>
      <c r="E43" s="1" t="s">
        <v>586</v>
      </c>
      <c r="F43" s="1" t="s">
        <v>587</v>
      </c>
      <c r="G43" s="1" t="s">
        <v>101</v>
      </c>
      <c r="H43" s="1" t="s">
        <v>588</v>
      </c>
      <c r="I43" s="1" t="s">
        <v>314</v>
      </c>
      <c r="J43" s="1" t="s">
        <v>589</v>
      </c>
      <c r="K43" s="1" t="s">
        <v>590</v>
      </c>
      <c r="L43" s="1" t="s">
        <v>106</v>
      </c>
      <c r="M43" s="1" t="s">
        <v>441</v>
      </c>
      <c r="N43" s="1" t="s">
        <v>11</v>
      </c>
      <c r="O43" s="1">
        <v>0</v>
      </c>
      <c r="P43" s="1">
        <v>149</v>
      </c>
      <c r="Q43" s="1" t="s">
        <v>108</v>
      </c>
      <c r="R43" s="1" t="s">
        <v>109</v>
      </c>
      <c r="S43" s="1">
        <v>8</v>
      </c>
      <c r="T43" s="1">
        <v>1192</v>
      </c>
      <c r="U43" s="1">
        <v>0</v>
      </c>
      <c r="V43" s="1">
        <v>0</v>
      </c>
      <c r="W43" s="1">
        <v>240</v>
      </c>
      <c r="X43" s="1">
        <v>1200</v>
      </c>
      <c r="Y43" s="1">
        <v>0</v>
      </c>
      <c r="Z43" s="1">
        <v>2.2999999999999998</v>
      </c>
      <c r="AA43" s="1">
        <v>40</v>
      </c>
      <c r="AB43" s="1" t="s">
        <v>591</v>
      </c>
      <c r="AC43" s="1"/>
      <c r="AD43" s="1"/>
      <c r="AE43" s="1" t="s">
        <v>13</v>
      </c>
      <c r="AF43" s="1" t="s">
        <v>592</v>
      </c>
      <c r="AG43" s="1" t="s">
        <v>593</v>
      </c>
      <c r="AH43" s="1" t="s">
        <v>584</v>
      </c>
      <c r="AI43" s="1" t="s">
        <v>202</v>
      </c>
      <c r="AJ43" s="1"/>
      <c r="AK43" s="1" t="s">
        <v>274</v>
      </c>
      <c r="AL43" s="1"/>
      <c r="AM43" s="1" t="s">
        <v>594</v>
      </c>
      <c r="AN43" s="1"/>
      <c r="AO43" s="1">
        <v>46300.479560185202</v>
      </c>
      <c r="AP43" s="1">
        <v>46300.647754629601</v>
      </c>
      <c r="AQ43" s="42">
        <v>46301.171053240701</v>
      </c>
      <c r="AR43" s="1">
        <v>45213</v>
      </c>
      <c r="AS43" s="1">
        <v>66900</v>
      </c>
      <c r="AT43" s="1">
        <v>483</v>
      </c>
      <c r="AU43" s="1">
        <v>3501</v>
      </c>
      <c r="AV43" s="1">
        <v>0</v>
      </c>
      <c r="AW43" s="1">
        <v>6</v>
      </c>
      <c r="AX43" s="1">
        <v>0</v>
      </c>
      <c r="AY43" s="1">
        <v>0</v>
      </c>
      <c r="AZ43" s="1">
        <v>-21687</v>
      </c>
      <c r="BA43" s="1">
        <v>67.582959641255599</v>
      </c>
      <c r="BB43" s="1">
        <v>4740</v>
      </c>
      <c r="BC43" s="1">
        <v>6800</v>
      </c>
      <c r="BD43" s="1">
        <v>0</v>
      </c>
      <c r="BE43" s="1">
        <v>1200</v>
      </c>
      <c r="BF43" s="1">
        <v>12740</v>
      </c>
      <c r="BG43" s="1">
        <v>85.503360000000001</v>
      </c>
      <c r="BH43" s="1">
        <v>61</v>
      </c>
      <c r="BI43" s="1">
        <v>0.40939599999999998</v>
      </c>
      <c r="BJ43" s="1">
        <v>254</v>
      </c>
      <c r="BK43" s="1">
        <v>1.704698</v>
      </c>
      <c r="BL43" s="1">
        <v>0</v>
      </c>
      <c r="BM43" s="1">
        <v>22</v>
      </c>
      <c r="BN43" s="1">
        <v>16</v>
      </c>
      <c r="BO43" s="1">
        <v>52.737000000000002</v>
      </c>
      <c r="BP43" s="1">
        <v>0</v>
      </c>
      <c r="BQ43" s="1"/>
      <c r="BR43" s="1"/>
      <c r="BS43" s="1"/>
      <c r="BT43" s="1"/>
      <c r="BU43" s="1" t="s">
        <v>595</v>
      </c>
      <c r="BV43" s="1" t="str">
        <f t="shared" si="5"/>
        <v>*CHO XE RA VAI*03-NG, THE DAU, CAT 2Y VAI (SUA PHAN LOAI)</v>
      </c>
      <c r="BW43" s="7" t="str">
        <f t="shared" si="0"/>
        <v>2nd batch</v>
      </c>
      <c r="BX43" s="8" t="str">
        <f t="shared" si="1"/>
        <v>Small Machine</v>
      </c>
      <c r="BY43" t="str">
        <f>IF(OR(IFERROR(VLOOKUP(J43,[1]NC!$L:$L,1,0),0)&lt;&gt;0,BQ43&gt;0),"NG","OK")</f>
        <v>NG</v>
      </c>
      <c r="BZ43" s="7" t="str">
        <f t="shared" si="4"/>
        <v>C260713511</v>
      </c>
      <c r="CA43" t="str">
        <f>IF(OR(IFERROR(VLOOKUP(BZ43,[2]DG!$H:$H,1,0),0)&lt;&gt;0,IFERROR(VLOOKUP(J43,[1]NC!$L:$L,1,0),0)&lt;&gt;0),"Rework",IF(BQ43&gt;0,"Adjustment","OK"))</f>
        <v>Rework</v>
      </c>
    </row>
    <row r="44" spans="1:79">
      <c r="A44" s="1" t="s">
        <v>95</v>
      </c>
      <c r="B44" s="14" t="s">
        <v>96</v>
      </c>
      <c r="C44" s="1" t="s">
        <v>277</v>
      </c>
      <c r="D44" s="1" t="s">
        <v>278</v>
      </c>
      <c r="E44" s="1" t="s">
        <v>279</v>
      </c>
      <c r="F44" s="1" t="s">
        <v>280</v>
      </c>
      <c r="G44" s="1" t="s">
        <v>101</v>
      </c>
      <c r="H44" s="1" t="s">
        <v>281</v>
      </c>
      <c r="I44" s="1" t="s">
        <v>282</v>
      </c>
      <c r="J44" s="1" t="s">
        <v>596</v>
      </c>
      <c r="K44" s="1" t="s">
        <v>284</v>
      </c>
      <c r="L44" s="1" t="s">
        <v>106</v>
      </c>
      <c r="M44" s="1" t="s">
        <v>124</v>
      </c>
      <c r="N44" s="1" t="s">
        <v>12</v>
      </c>
      <c r="O44" s="1">
        <v>0</v>
      </c>
      <c r="P44" s="1">
        <v>2140</v>
      </c>
      <c r="Q44" s="1" t="s">
        <v>108</v>
      </c>
      <c r="R44" s="1" t="s">
        <v>109</v>
      </c>
      <c r="S44" s="1">
        <v>5.5</v>
      </c>
      <c r="T44" s="1">
        <v>11770</v>
      </c>
      <c r="U44" s="1">
        <v>0</v>
      </c>
      <c r="V44" s="1">
        <v>0</v>
      </c>
      <c r="W44" s="1">
        <v>280</v>
      </c>
      <c r="X44" s="1">
        <v>1150</v>
      </c>
      <c r="Y44" s="1">
        <v>0</v>
      </c>
      <c r="Z44" s="1">
        <v>2.2999999999999998</v>
      </c>
      <c r="AA44" s="1">
        <v>30</v>
      </c>
      <c r="AB44" s="1" t="s">
        <v>597</v>
      </c>
      <c r="AC44" s="1"/>
      <c r="AD44" s="1"/>
      <c r="AE44" s="1" t="s">
        <v>13</v>
      </c>
      <c r="AF44" s="1" t="s">
        <v>286</v>
      </c>
      <c r="AG44" s="1" t="s">
        <v>287</v>
      </c>
      <c r="AH44" s="1" t="s">
        <v>277</v>
      </c>
      <c r="AI44" s="1" t="s">
        <v>202</v>
      </c>
      <c r="AJ44" s="1"/>
      <c r="AK44" s="1" t="s">
        <v>598</v>
      </c>
      <c r="AL44" s="1"/>
      <c r="AM44" s="1" t="s">
        <v>599</v>
      </c>
      <c r="AN44" s="1"/>
      <c r="AO44" s="1">
        <v>46300.543877314798</v>
      </c>
      <c r="AP44" s="1">
        <v>46300.687650462998</v>
      </c>
      <c r="AQ44" s="42">
        <v>46301.211516203701</v>
      </c>
      <c r="AR44" s="1">
        <v>45262</v>
      </c>
      <c r="AS44" s="1">
        <v>47820</v>
      </c>
      <c r="AT44" s="1">
        <v>4</v>
      </c>
      <c r="AU44" s="1">
        <v>1253</v>
      </c>
      <c r="AV44" s="1">
        <v>0</v>
      </c>
      <c r="AW44" s="1">
        <v>112</v>
      </c>
      <c r="AX44" s="1">
        <v>0</v>
      </c>
      <c r="AY44" s="1">
        <v>0</v>
      </c>
      <c r="AZ44" s="1">
        <v>-2558</v>
      </c>
      <c r="BA44" s="1">
        <v>94.650773734839007</v>
      </c>
      <c r="BB44" s="1">
        <v>28980</v>
      </c>
      <c r="BC44" s="1">
        <v>20730</v>
      </c>
      <c r="BD44" s="1">
        <v>0</v>
      </c>
      <c r="BE44" s="1">
        <v>46910</v>
      </c>
      <c r="BF44" s="1">
        <v>96620</v>
      </c>
      <c r="BG44" s="1">
        <v>45.149529999999999</v>
      </c>
      <c r="BH44" s="1">
        <v>413.1</v>
      </c>
      <c r="BI44" s="1">
        <v>0.1930374</v>
      </c>
      <c r="BJ44" s="1">
        <v>2282</v>
      </c>
      <c r="BK44" s="1">
        <v>1.0663549999999999</v>
      </c>
      <c r="BL44" s="1">
        <v>0</v>
      </c>
      <c r="BM44" s="1">
        <v>42</v>
      </c>
      <c r="BN44" s="1">
        <v>21</v>
      </c>
      <c r="BO44" s="1">
        <v>59.0717</v>
      </c>
      <c r="BP44" s="1">
        <v>0</v>
      </c>
      <c r="BQ44" s="1"/>
      <c r="BR44" s="1"/>
      <c r="BS44" s="1"/>
      <c r="BT44" s="1"/>
      <c r="BU44" s="1" t="s">
        <v>600</v>
      </c>
      <c r="BV44" s="1" t="str">
        <f t="shared" si="5"/>
        <v>ty trong muoi 1.06 06-NG, GOP#LOT SOI C260692150, CAT VAI 2 THE XEM MAU</v>
      </c>
      <c r="BW44" s="7" t="str">
        <f t="shared" si="0"/>
        <v>2nd batch</v>
      </c>
      <c r="BX44" s="8" t="str">
        <f t="shared" si="1"/>
        <v>&gt;=500kg</v>
      </c>
      <c r="BY44" t="str">
        <f>IF(OR(IFERROR(VLOOKUP(J44,[1]NC!$L:$L,1,0),0)&lt;&gt;0,BQ44&gt;0),"NG","OK")</f>
        <v>OK</v>
      </c>
      <c r="BZ44" s="7" t="str">
        <f t="shared" si="4"/>
        <v>C260692161</v>
      </c>
      <c r="CA44" t="str">
        <f>IF(OR(IFERROR(VLOOKUP(BZ44,[2]DG!$H:$H,1,0),0)&lt;&gt;0,IFERROR(VLOOKUP(J44,[1]NC!$L:$L,1,0),0)&lt;&gt;0),"Rework",IF(BQ44&gt;0,"Adjustment","OK"))</f>
        <v>OK</v>
      </c>
    </row>
    <row r="45" spans="1:79">
      <c r="A45" s="1" t="s">
        <v>132</v>
      </c>
      <c r="B45" s="38" t="s">
        <v>96</v>
      </c>
      <c r="C45" s="1" t="s">
        <v>601</v>
      </c>
      <c r="D45" s="1" t="s">
        <v>251</v>
      </c>
      <c r="E45" s="1" t="s">
        <v>602</v>
      </c>
      <c r="F45" s="1" t="s">
        <v>603</v>
      </c>
      <c r="G45" s="1" t="s">
        <v>209</v>
      </c>
      <c r="H45" s="1" t="s">
        <v>604</v>
      </c>
      <c r="I45" s="1" t="s">
        <v>605</v>
      </c>
      <c r="J45" s="1" t="s">
        <v>606</v>
      </c>
      <c r="K45" s="1"/>
      <c r="L45" s="1" t="s">
        <v>106</v>
      </c>
      <c r="M45" s="1" t="s">
        <v>140</v>
      </c>
      <c r="N45" s="1" t="s">
        <v>11</v>
      </c>
      <c r="O45" s="1">
        <v>0</v>
      </c>
      <c r="P45" s="1">
        <v>616</v>
      </c>
      <c r="Q45" s="1" t="s">
        <v>108</v>
      </c>
      <c r="R45" s="1" t="s">
        <v>109</v>
      </c>
      <c r="S45" s="1">
        <v>12</v>
      </c>
      <c r="T45" s="1">
        <v>7392</v>
      </c>
      <c r="U45" s="1">
        <v>0</v>
      </c>
      <c r="V45" s="1">
        <v>0</v>
      </c>
      <c r="W45" s="1">
        <v>240</v>
      </c>
      <c r="X45" s="1">
        <v>1200</v>
      </c>
      <c r="Y45" s="1">
        <v>0</v>
      </c>
      <c r="Z45" s="1">
        <v>1.8</v>
      </c>
      <c r="AA45" s="1">
        <v>40</v>
      </c>
      <c r="AB45" s="1" t="s">
        <v>607</v>
      </c>
      <c r="AC45" s="1"/>
      <c r="AD45" s="1"/>
      <c r="AE45" s="1" t="s">
        <v>15</v>
      </c>
      <c r="AF45" s="1" t="s">
        <v>608</v>
      </c>
      <c r="AG45" s="1" t="s">
        <v>609</v>
      </c>
      <c r="AH45" s="1" t="s">
        <v>601</v>
      </c>
      <c r="AI45" s="1" t="s">
        <v>144</v>
      </c>
      <c r="AJ45" s="1"/>
      <c r="AK45" s="1"/>
      <c r="AL45" s="1"/>
      <c r="AM45" s="1" t="s">
        <v>610</v>
      </c>
      <c r="AN45" s="1"/>
      <c r="AO45" s="1">
        <v>46300.6379282407</v>
      </c>
      <c r="AP45" s="1">
        <v>46300.793136574102</v>
      </c>
      <c r="AQ45" s="42">
        <v>46301.214155092603</v>
      </c>
      <c r="AR45" s="1">
        <v>36376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36376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6.0753409999999999</v>
      </c>
      <c r="BP45" s="1">
        <v>0</v>
      </c>
      <c r="BQ45" s="1"/>
      <c r="BR45" s="1"/>
      <c r="BS45" s="1"/>
      <c r="BT45" s="1"/>
      <c r="BU45" s="1" t="s">
        <v>611</v>
      </c>
      <c r="BV45" s="1" t="str">
        <f t="shared" si="5"/>
        <v>08-OK ST C260607190, GOP C260710540, THE DAU, CAT 2Y VAI</v>
      </c>
      <c r="BW45" s="7" t="str">
        <f t="shared" si="0"/>
        <v>bulk to bulk</v>
      </c>
      <c r="BX45" s="8" t="str">
        <f t="shared" si="1"/>
        <v>&gt;=500kg</v>
      </c>
      <c r="BY45" t="str">
        <f>IF(OR(IFERROR(VLOOKUP(J45,[1]NC!$L:$L,1,0),0)&lt;&gt;0,BQ45&gt;0),"NG","OK")</f>
        <v>OK</v>
      </c>
      <c r="BZ45" s="7" t="str">
        <f t="shared" si="4"/>
        <v>C260710531</v>
      </c>
      <c r="CA45" t="str">
        <f>IF(OR(IFERROR(VLOOKUP(BZ45,[2]DG!$H:$H,1,0),0)&lt;&gt;0,IFERROR(VLOOKUP(J45,[1]NC!$L:$L,1,0),0)&lt;&gt;0),"Rework",IF(BQ45&gt;0,"Adjustment","OK"))</f>
        <v>OK</v>
      </c>
    </row>
    <row r="46" spans="1:79">
      <c r="A46" s="1" t="s">
        <v>95</v>
      </c>
      <c r="B46" s="6" t="s">
        <v>96</v>
      </c>
      <c r="C46" s="1" t="s">
        <v>612</v>
      </c>
      <c r="D46" s="1" t="s">
        <v>98</v>
      </c>
      <c r="E46" s="1" t="s">
        <v>99</v>
      </c>
      <c r="F46" s="1" t="s">
        <v>100</v>
      </c>
      <c r="G46" s="1" t="s">
        <v>101</v>
      </c>
      <c r="H46" s="1" t="s">
        <v>102</v>
      </c>
      <c r="I46" s="1" t="s">
        <v>103</v>
      </c>
      <c r="J46" s="1" t="s">
        <v>613</v>
      </c>
      <c r="K46" s="1" t="s">
        <v>105</v>
      </c>
      <c r="L46" s="1" t="s">
        <v>106</v>
      </c>
      <c r="M46" s="1" t="s">
        <v>107</v>
      </c>
      <c r="N46" s="1" t="s">
        <v>11</v>
      </c>
      <c r="O46" s="1">
        <v>0</v>
      </c>
      <c r="P46" s="1">
        <v>504</v>
      </c>
      <c r="Q46" s="1" t="s">
        <v>108</v>
      </c>
      <c r="R46" s="1" t="s">
        <v>109</v>
      </c>
      <c r="S46" s="1">
        <v>5.5</v>
      </c>
      <c r="T46" s="1">
        <v>2772</v>
      </c>
      <c r="U46" s="1">
        <v>0</v>
      </c>
      <c r="V46" s="1">
        <v>0</v>
      </c>
      <c r="W46" s="1">
        <v>280</v>
      </c>
      <c r="X46" s="1">
        <v>1200</v>
      </c>
      <c r="Y46" s="1">
        <v>0</v>
      </c>
      <c r="Z46" s="1">
        <v>2</v>
      </c>
      <c r="AA46" s="1">
        <v>40</v>
      </c>
      <c r="AB46" s="1" t="s">
        <v>614</v>
      </c>
      <c r="AC46" s="1"/>
      <c r="AD46" s="1"/>
      <c r="AE46" s="1" t="s">
        <v>14</v>
      </c>
      <c r="AF46" s="1" t="s">
        <v>111</v>
      </c>
      <c r="AG46" s="1" t="s">
        <v>112</v>
      </c>
      <c r="AH46" s="1" t="s">
        <v>612</v>
      </c>
      <c r="AI46" s="1" t="s">
        <v>113</v>
      </c>
      <c r="AJ46" s="1"/>
      <c r="AK46" s="1"/>
      <c r="AL46" s="1" t="s">
        <v>615</v>
      </c>
      <c r="AM46" s="1" t="s">
        <v>114</v>
      </c>
      <c r="AN46" s="1"/>
      <c r="AO46" s="1">
        <v>46299.944224537001</v>
      </c>
      <c r="AP46" s="1">
        <v>46300.312106481499</v>
      </c>
      <c r="AQ46" s="42">
        <v>46301.231782407398</v>
      </c>
      <c r="AR46" s="1">
        <v>79460</v>
      </c>
      <c r="AS46" s="1">
        <v>70920</v>
      </c>
      <c r="AT46" s="1">
        <v>17</v>
      </c>
      <c r="AU46" s="1">
        <v>2900</v>
      </c>
      <c r="AV46" s="1">
        <v>0</v>
      </c>
      <c r="AW46" s="1">
        <v>48</v>
      </c>
      <c r="AX46" s="1">
        <v>0</v>
      </c>
      <c r="AY46" s="1">
        <v>0</v>
      </c>
      <c r="AZ46" s="1">
        <v>8540</v>
      </c>
      <c r="BA46" s="1">
        <v>112.04173716864101</v>
      </c>
      <c r="BB46" s="1">
        <v>16700</v>
      </c>
      <c r="BC46" s="1">
        <v>18270</v>
      </c>
      <c r="BD46" s="1">
        <v>0</v>
      </c>
      <c r="BE46" s="1">
        <v>2780</v>
      </c>
      <c r="BF46" s="1">
        <v>37750</v>
      </c>
      <c r="BG46" s="1">
        <v>74.900790000000001</v>
      </c>
      <c r="BH46" s="1">
        <v>172</v>
      </c>
      <c r="BI46" s="1">
        <v>0.34126990000000001</v>
      </c>
      <c r="BJ46" s="1">
        <v>1264</v>
      </c>
      <c r="BK46" s="1">
        <v>2.5079359999999999</v>
      </c>
      <c r="BL46" s="1">
        <v>0</v>
      </c>
      <c r="BM46" s="1">
        <v>30</v>
      </c>
      <c r="BN46" s="1">
        <v>11</v>
      </c>
      <c r="BO46" s="1">
        <v>96.254350000000002</v>
      </c>
      <c r="BP46" s="1">
        <v>0</v>
      </c>
      <c r="BQ46" s="1"/>
      <c r="BR46" s="1"/>
      <c r="BS46" s="1"/>
      <c r="BT46" s="1"/>
      <c r="BU46" s="1" t="s">
        <v>616</v>
      </c>
      <c r="BV46" s="1" t="str">
        <f t="shared" si="5"/>
        <v>ty trong 1.062 03-NG</v>
      </c>
      <c r="BW46" s="7" t="str">
        <f t="shared" si="0"/>
        <v>2nd batch</v>
      </c>
      <c r="BX46" s="8" t="str">
        <f t="shared" si="1"/>
        <v>&gt;=500kg</v>
      </c>
      <c r="BY46" t="str">
        <f>IF(OR(IFERROR(VLOOKUP(J46,[1]NC!$L:$L,1,0),0)&lt;&gt;0,BQ46&gt;0),"NG","OK")</f>
        <v>OK</v>
      </c>
      <c r="BZ46" s="7" t="str">
        <f t="shared" si="4"/>
        <v>C260708001</v>
      </c>
      <c r="CA46" t="str">
        <f>IF(OR(IFERROR(VLOOKUP(BZ46,[2]DG!$H:$H,1,0),0)&lt;&gt;0,IFERROR(VLOOKUP(J46,[1]NC!$L:$L,1,0),0)&lt;&gt;0),"Rework",IF(BQ46&gt;0,"Adjustment","OK"))</f>
        <v>OK</v>
      </c>
    </row>
    <row r="47" spans="1:79">
      <c r="A47" s="1" t="s">
        <v>95</v>
      </c>
      <c r="B47" s="39" t="s">
        <v>96</v>
      </c>
      <c r="C47" s="1" t="s">
        <v>410</v>
      </c>
      <c r="D47" s="1" t="s">
        <v>192</v>
      </c>
      <c r="E47" s="1" t="s">
        <v>617</v>
      </c>
      <c r="F47" s="1" t="s">
        <v>618</v>
      </c>
      <c r="G47" s="1" t="s">
        <v>120</v>
      </c>
      <c r="H47" s="1" t="s">
        <v>378</v>
      </c>
      <c r="I47" s="1" t="s">
        <v>154</v>
      </c>
      <c r="J47" s="1" t="s">
        <v>619</v>
      </c>
      <c r="K47" s="1" t="s">
        <v>620</v>
      </c>
      <c r="L47" s="1" t="s">
        <v>106</v>
      </c>
      <c r="M47" s="1" t="s">
        <v>124</v>
      </c>
      <c r="N47" s="1" t="s">
        <v>12</v>
      </c>
      <c r="O47" s="1">
        <v>0</v>
      </c>
      <c r="P47" s="1">
        <v>1186</v>
      </c>
      <c r="Q47" s="1" t="s">
        <v>108</v>
      </c>
      <c r="R47" s="1" t="s">
        <v>109</v>
      </c>
      <c r="S47" s="1">
        <v>5.5</v>
      </c>
      <c r="T47" s="1">
        <v>6523</v>
      </c>
      <c r="U47" s="1">
        <v>40</v>
      </c>
      <c r="V47" s="1">
        <v>0</v>
      </c>
      <c r="W47" s="1">
        <v>280</v>
      </c>
      <c r="X47" s="1">
        <v>1250</v>
      </c>
      <c r="Y47" s="1">
        <v>0</v>
      </c>
      <c r="Z47" s="1">
        <v>2.2999999999999998</v>
      </c>
      <c r="AA47" s="1">
        <v>40</v>
      </c>
      <c r="AB47" s="1" t="s">
        <v>621</v>
      </c>
      <c r="AC47" s="1"/>
      <c r="AD47" s="1"/>
      <c r="AE47" s="1" t="s">
        <v>13</v>
      </c>
      <c r="AF47" s="1" t="s">
        <v>622</v>
      </c>
      <c r="AG47" s="1" t="s">
        <v>623</v>
      </c>
      <c r="AH47" s="1" t="s">
        <v>410</v>
      </c>
      <c r="AI47" s="1" t="s">
        <v>202</v>
      </c>
      <c r="AJ47" s="1"/>
      <c r="AK47" s="1"/>
      <c r="AL47" s="1"/>
      <c r="AM47" s="1" t="s">
        <v>408</v>
      </c>
      <c r="AN47" s="1"/>
      <c r="AO47" s="1">
        <v>46300.573530092603</v>
      </c>
      <c r="AP47" s="1">
        <v>46300.797916666699</v>
      </c>
      <c r="AQ47" s="42">
        <v>46301.2588888889</v>
      </c>
      <c r="AR47" s="1">
        <v>39828</v>
      </c>
      <c r="AS47" s="1">
        <v>38340</v>
      </c>
      <c r="AT47" s="1">
        <v>4</v>
      </c>
      <c r="AU47" s="1">
        <v>2497</v>
      </c>
      <c r="AV47" s="1">
        <v>0</v>
      </c>
      <c r="AW47" s="1">
        <v>94</v>
      </c>
      <c r="AX47" s="1">
        <v>0</v>
      </c>
      <c r="AY47" s="1">
        <v>0</v>
      </c>
      <c r="AZ47" s="1">
        <v>1488</v>
      </c>
      <c r="BA47" s="1">
        <v>103.881064162754</v>
      </c>
      <c r="BB47" s="1">
        <v>26000</v>
      </c>
      <c r="BC47" s="1">
        <v>15040</v>
      </c>
      <c r="BD47" s="1">
        <v>0</v>
      </c>
      <c r="BE47" s="1">
        <v>6490</v>
      </c>
      <c r="BF47" s="1">
        <v>47530</v>
      </c>
      <c r="BG47" s="1">
        <v>40.075890000000001</v>
      </c>
      <c r="BH47" s="1">
        <v>206</v>
      </c>
      <c r="BI47" s="1">
        <v>0.17369309999999999</v>
      </c>
      <c r="BJ47" s="1">
        <v>1275</v>
      </c>
      <c r="BK47" s="1">
        <v>1.0750420000000001</v>
      </c>
      <c r="BL47" s="1">
        <v>0</v>
      </c>
      <c r="BM47" s="1">
        <v>43</v>
      </c>
      <c r="BN47" s="1">
        <v>7</v>
      </c>
      <c r="BO47" s="1">
        <v>0</v>
      </c>
      <c r="BP47" s="1">
        <v>0</v>
      </c>
      <c r="BQ47" s="1"/>
      <c r="BR47" s="1"/>
      <c r="BS47" s="1"/>
      <c r="BT47" s="1"/>
      <c r="BU47" s="1" t="s">
        <v>624</v>
      </c>
      <c r="BV47" s="1" t="str">
        <f t="shared" si="5"/>
        <v>06-NG, KHAC LOT SOI, THE DAU, CAT 2Y VAI</v>
      </c>
      <c r="BW47" s="7" t="str">
        <f t="shared" si="0"/>
        <v>2nd batch</v>
      </c>
      <c r="BX47" s="8" t="str">
        <f t="shared" si="1"/>
        <v>&gt;=500kg</v>
      </c>
      <c r="BY47" t="str">
        <f>IF(OR(IFERROR(VLOOKUP(J47,[1]NC!$L:$L,1,0),0)&lt;&gt;0,BQ47&gt;0),"NG","OK")</f>
        <v>OK</v>
      </c>
      <c r="BZ47" s="7" t="str">
        <f t="shared" si="4"/>
        <v>C260716871</v>
      </c>
      <c r="CA47" t="str">
        <f>IF(OR(IFERROR(VLOOKUP(BZ47,[2]DG!$H:$H,1,0),0)&lt;&gt;0,IFERROR(VLOOKUP(J47,[1]NC!$L:$L,1,0),0)&lt;&gt;0),"Rework",IF(BQ47&gt;0,"Adjustment","OK"))</f>
        <v>OK</v>
      </c>
    </row>
    <row r="48" spans="1:79">
      <c r="A48" s="1" t="s">
        <v>95</v>
      </c>
      <c r="B48" s="21" t="s">
        <v>96</v>
      </c>
      <c r="C48" s="1" t="s">
        <v>625</v>
      </c>
      <c r="D48" s="1" t="s">
        <v>278</v>
      </c>
      <c r="E48" s="1" t="s">
        <v>626</v>
      </c>
      <c r="F48" s="1" t="s">
        <v>344</v>
      </c>
      <c r="G48" s="1" t="s">
        <v>120</v>
      </c>
      <c r="H48" s="1" t="s">
        <v>345</v>
      </c>
      <c r="I48" s="1" t="s">
        <v>154</v>
      </c>
      <c r="J48" s="1" t="s">
        <v>627</v>
      </c>
      <c r="K48" s="1" t="s">
        <v>578</v>
      </c>
      <c r="L48" s="1" t="s">
        <v>106</v>
      </c>
      <c r="M48" s="1" t="s">
        <v>198</v>
      </c>
      <c r="N48" s="1" t="s">
        <v>11</v>
      </c>
      <c r="O48" s="1">
        <v>0</v>
      </c>
      <c r="P48" s="1">
        <v>1019</v>
      </c>
      <c r="Q48" s="1" t="s">
        <v>108</v>
      </c>
      <c r="R48" s="1" t="s">
        <v>109</v>
      </c>
      <c r="S48" s="1">
        <v>5.5</v>
      </c>
      <c r="T48" s="1">
        <v>5604.5</v>
      </c>
      <c r="U48" s="1">
        <v>0</v>
      </c>
      <c r="V48" s="1">
        <v>0</v>
      </c>
      <c r="W48" s="1">
        <v>260</v>
      </c>
      <c r="X48" s="1">
        <v>80</v>
      </c>
      <c r="Y48" s="1">
        <v>0</v>
      </c>
      <c r="Z48" s="1">
        <v>2.2999999999999998</v>
      </c>
      <c r="AA48" s="1">
        <v>30</v>
      </c>
      <c r="AB48" s="1" t="s">
        <v>628</v>
      </c>
      <c r="AC48" s="1"/>
      <c r="AD48" s="1"/>
      <c r="AE48" s="1" t="s">
        <v>13</v>
      </c>
      <c r="AF48" s="1" t="s">
        <v>349</v>
      </c>
      <c r="AG48" s="1" t="s">
        <v>629</v>
      </c>
      <c r="AH48" s="1" t="s">
        <v>625</v>
      </c>
      <c r="AI48" s="1" t="s">
        <v>202</v>
      </c>
      <c r="AJ48" s="1"/>
      <c r="AK48" s="1"/>
      <c r="AL48" s="1"/>
      <c r="AM48" s="1" t="s">
        <v>630</v>
      </c>
      <c r="AN48" s="1"/>
      <c r="AO48" s="1">
        <v>46300.192245370403</v>
      </c>
      <c r="AP48" s="1">
        <v>46300.788321759297</v>
      </c>
      <c r="AQ48" s="42">
        <v>46301.260324074101</v>
      </c>
      <c r="AR48" s="1">
        <v>40781</v>
      </c>
      <c r="AS48" s="1">
        <v>68520</v>
      </c>
      <c r="AT48" s="1">
        <v>14</v>
      </c>
      <c r="AU48" s="1">
        <v>1197</v>
      </c>
      <c r="AV48" s="1">
        <v>0</v>
      </c>
      <c r="AW48" s="1">
        <v>13</v>
      </c>
      <c r="AX48" s="1">
        <v>0</v>
      </c>
      <c r="AY48" s="1">
        <v>0</v>
      </c>
      <c r="AZ48" s="1">
        <v>-27739</v>
      </c>
      <c r="BA48" s="1">
        <v>59.5169293636894</v>
      </c>
      <c r="BB48" s="1">
        <v>33513</v>
      </c>
      <c r="BC48" s="1">
        <v>651.9</v>
      </c>
      <c r="BD48" s="1">
        <v>0</v>
      </c>
      <c r="BE48" s="1">
        <v>40249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70</v>
      </c>
      <c r="BN48" s="1">
        <v>22</v>
      </c>
      <c r="BO48" s="1">
        <v>0</v>
      </c>
      <c r="BP48" s="1">
        <v>0</v>
      </c>
      <c r="BQ48" s="1"/>
      <c r="BR48" s="1"/>
      <c r="BS48" s="1"/>
      <c r="BT48" s="1"/>
      <c r="BU48" s="1" t="s">
        <v>631</v>
      </c>
      <c r="BV48" s="1" t="str">
        <f t="shared" si="5"/>
        <v>09-OK, DAI TRA OK</v>
      </c>
      <c r="BW48" s="7" t="str">
        <f t="shared" si="0"/>
        <v>bulk to bulk</v>
      </c>
      <c r="BX48" s="8" t="str">
        <f t="shared" si="1"/>
        <v>&gt;=500kg</v>
      </c>
      <c r="BY48" t="str">
        <f>IF(OR(IFERROR(VLOOKUP(J48,[1]NC!$L:$L,1,0),0)&lt;&gt;0,BQ48&gt;0),"NG","OK")</f>
        <v>OK</v>
      </c>
      <c r="BZ48" s="7" t="str">
        <f t="shared" si="4"/>
        <v>C260673941</v>
      </c>
      <c r="CA48" t="str">
        <f>IF(OR(IFERROR(VLOOKUP(BZ48,[2]DG!$H:$H,1,0),0)&lt;&gt;0,IFERROR(VLOOKUP(J48,[1]NC!$L:$L,1,0),0)&lt;&gt;0),"Rework",IF(BQ48&gt;0,"Adjustment","OK"))</f>
        <v>OK</v>
      </c>
    </row>
    <row r="49" spans="1:79">
      <c r="A49" s="1" t="s">
        <v>263</v>
      </c>
      <c r="B49" s="14" t="s">
        <v>96</v>
      </c>
      <c r="C49" s="1" t="s">
        <v>632</v>
      </c>
      <c r="D49" s="1" t="s">
        <v>633</v>
      </c>
      <c r="E49" s="1" t="s">
        <v>634</v>
      </c>
      <c r="F49" s="1" t="s">
        <v>635</v>
      </c>
      <c r="G49" s="1" t="s">
        <v>101</v>
      </c>
      <c r="H49" s="1" t="s">
        <v>268</v>
      </c>
      <c r="I49" s="1" t="s">
        <v>269</v>
      </c>
      <c r="J49" s="1" t="s">
        <v>636</v>
      </c>
      <c r="K49" s="1" t="s">
        <v>637</v>
      </c>
      <c r="L49" s="1" t="s">
        <v>106</v>
      </c>
      <c r="M49" s="1" t="s">
        <v>124</v>
      </c>
      <c r="N49" s="1" t="s">
        <v>11</v>
      </c>
      <c r="O49" s="1">
        <v>0</v>
      </c>
      <c r="P49" s="1">
        <v>1131</v>
      </c>
      <c r="Q49" s="1" t="s">
        <v>108</v>
      </c>
      <c r="R49" s="1" t="s">
        <v>109</v>
      </c>
      <c r="S49" s="1">
        <v>11.5</v>
      </c>
      <c r="T49" s="1">
        <v>13006.5</v>
      </c>
      <c r="U49" s="1">
        <v>0</v>
      </c>
      <c r="V49" s="1">
        <v>0</v>
      </c>
      <c r="W49" s="1">
        <v>160</v>
      </c>
      <c r="X49" s="1">
        <v>1200</v>
      </c>
      <c r="Y49" s="1">
        <v>0</v>
      </c>
      <c r="Z49" s="1">
        <v>1.8</v>
      </c>
      <c r="AA49" s="1">
        <v>40</v>
      </c>
      <c r="AB49" s="1" t="s">
        <v>638</v>
      </c>
      <c r="AC49" s="1"/>
      <c r="AD49" s="1"/>
      <c r="AE49" s="1" t="s">
        <v>15</v>
      </c>
      <c r="AF49" s="1" t="s">
        <v>272</v>
      </c>
      <c r="AG49" s="1" t="s">
        <v>639</v>
      </c>
      <c r="AH49" s="1" t="s">
        <v>632</v>
      </c>
      <c r="AI49" s="1" t="s">
        <v>640</v>
      </c>
      <c r="AJ49" s="1"/>
      <c r="AK49" s="1"/>
      <c r="AL49" s="1"/>
      <c r="AM49" s="1" t="s">
        <v>641</v>
      </c>
      <c r="AN49" s="1"/>
      <c r="AO49" s="1">
        <v>46300.631874999999</v>
      </c>
      <c r="AP49" s="1">
        <v>46300.793969907398</v>
      </c>
      <c r="AQ49" s="42">
        <v>46301.271377314799</v>
      </c>
      <c r="AR49" s="1">
        <v>41248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41248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998.09360000000004</v>
      </c>
      <c r="BP49" s="1">
        <v>0</v>
      </c>
      <c r="BQ49" s="1"/>
      <c r="BR49" s="1"/>
      <c r="BS49" s="1"/>
      <c r="BT49" s="1"/>
      <c r="BU49" s="1" t="s">
        <v>642</v>
      </c>
      <c r="BV49" s="1" t="str">
        <f t="shared" si="5"/>
        <v>06-NG # LOT SOI, CT FL</v>
      </c>
      <c r="BW49" s="7" t="str">
        <f t="shared" si="0"/>
        <v>2nd batch</v>
      </c>
      <c r="BX49" s="8" t="str">
        <f t="shared" si="1"/>
        <v>&gt;=500kg</v>
      </c>
      <c r="BY49" t="str">
        <f>IF(OR(IFERROR(VLOOKUP(J49,[1]NC!$L:$L,1,0),0)&lt;&gt;0,BQ49&gt;0),"NG","OK")</f>
        <v>OK</v>
      </c>
      <c r="BZ49" s="7" t="str">
        <f t="shared" si="4"/>
        <v>C260695081</v>
      </c>
      <c r="CA49" t="str">
        <f>IF(OR(IFERROR(VLOOKUP(BZ49,[2]DG!$H:$H,1,0),0)&lt;&gt;0,IFERROR(VLOOKUP(J49,[1]NC!$L:$L,1,0),0)&lt;&gt;0),"Rework",IF(BQ49&gt;0,"Adjustment","OK"))</f>
        <v>OK</v>
      </c>
    </row>
    <row r="50" spans="1:79">
      <c r="A50" s="1" t="s">
        <v>263</v>
      </c>
      <c r="B50" s="18" t="s">
        <v>96</v>
      </c>
      <c r="C50" s="1" t="s">
        <v>264</v>
      </c>
      <c r="D50" s="1" t="s">
        <v>265</v>
      </c>
      <c r="E50" s="1" t="s">
        <v>266</v>
      </c>
      <c r="F50" s="1" t="s">
        <v>267</v>
      </c>
      <c r="G50" s="1" t="s">
        <v>101</v>
      </c>
      <c r="H50" s="1" t="s">
        <v>535</v>
      </c>
      <c r="I50" s="1" t="s">
        <v>269</v>
      </c>
      <c r="J50" s="1" t="s">
        <v>643</v>
      </c>
      <c r="K50" s="1" t="s">
        <v>257</v>
      </c>
      <c r="L50" s="1" t="s">
        <v>106</v>
      </c>
      <c r="M50" s="1" t="s">
        <v>140</v>
      </c>
      <c r="N50" s="1" t="s">
        <v>11</v>
      </c>
      <c r="O50" s="1">
        <v>0</v>
      </c>
      <c r="P50" s="1">
        <v>1128.2</v>
      </c>
      <c r="Q50" s="1" t="s">
        <v>108</v>
      </c>
      <c r="R50" s="1" t="s">
        <v>109</v>
      </c>
      <c r="S50" s="1">
        <v>11.5</v>
      </c>
      <c r="T50" s="1">
        <v>12974.3</v>
      </c>
      <c r="U50" s="1">
        <v>0</v>
      </c>
      <c r="V50" s="1">
        <v>0</v>
      </c>
      <c r="W50" s="1">
        <v>160</v>
      </c>
      <c r="X50" s="1">
        <v>1200</v>
      </c>
      <c r="Y50" s="1">
        <v>0</v>
      </c>
      <c r="Z50" s="1">
        <v>2.2999999999999998</v>
      </c>
      <c r="AA50" s="1">
        <v>40</v>
      </c>
      <c r="AB50" s="1" t="s">
        <v>644</v>
      </c>
      <c r="AC50" s="1"/>
      <c r="AD50" s="1"/>
      <c r="AE50" s="1" t="s">
        <v>15</v>
      </c>
      <c r="AF50" s="1" t="s">
        <v>272</v>
      </c>
      <c r="AG50" s="1" t="s">
        <v>273</v>
      </c>
      <c r="AH50" s="1" t="s">
        <v>264</v>
      </c>
      <c r="AI50" s="1" t="s">
        <v>144</v>
      </c>
      <c r="AJ50" s="1"/>
      <c r="AK50" s="1" t="s">
        <v>645</v>
      </c>
      <c r="AL50" s="1"/>
      <c r="AM50" s="1" t="s">
        <v>275</v>
      </c>
      <c r="AN50" s="1"/>
      <c r="AO50" s="1">
        <v>46301.018402777801</v>
      </c>
      <c r="AP50" s="1">
        <v>46301.046643518501</v>
      </c>
      <c r="AQ50" s="42">
        <v>46301.277013888903</v>
      </c>
      <c r="AR50" s="1">
        <v>19904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19904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978.48</v>
      </c>
      <c r="BP50" s="1">
        <v>0</v>
      </c>
      <c r="BQ50" s="1"/>
      <c r="BR50" s="1"/>
      <c r="BS50" s="1"/>
      <c r="BT50" s="1"/>
      <c r="BU50" s="1" t="s">
        <v>276</v>
      </c>
      <c r="BV50" s="1" t="str">
        <f t="shared" si="5"/>
        <v>*CHO DD02*08-OK ST C260695190 (MA)</v>
      </c>
      <c r="BW50" s="7" t="str">
        <f t="shared" si="0"/>
        <v>bulk to bulk</v>
      </c>
      <c r="BX50" s="8" t="str">
        <f t="shared" si="1"/>
        <v>&gt;=500kg</v>
      </c>
      <c r="BY50" t="str">
        <f>IF(OR(IFERROR(VLOOKUP(J50,[1]NC!$L:$L,1,0),0)&lt;&gt;0,BQ50&gt;0),"NG","OK")</f>
        <v>OK</v>
      </c>
      <c r="BZ50" s="7" t="str">
        <f t="shared" si="4"/>
        <v>C260715761</v>
      </c>
      <c r="CA50" t="str">
        <f>IF(OR(IFERROR(VLOOKUP(BZ50,[2]DG!$H:$H,1,0),0)&lt;&gt;0,IFERROR(VLOOKUP(J50,[1]NC!$L:$L,1,0),0)&lt;&gt;0),"Rework",IF(BQ50&gt;0,"Adjustment","OK"))</f>
        <v>OK</v>
      </c>
    </row>
    <row r="51" spans="1:79">
      <c r="A51" s="1" t="s">
        <v>132</v>
      </c>
      <c r="B51" s="14" t="s">
        <v>96</v>
      </c>
      <c r="C51" s="1" t="s">
        <v>646</v>
      </c>
      <c r="D51" s="1" t="s">
        <v>647</v>
      </c>
      <c r="E51" s="1" t="s">
        <v>648</v>
      </c>
      <c r="F51" s="1" t="s">
        <v>635</v>
      </c>
      <c r="G51" s="1" t="s">
        <v>101</v>
      </c>
      <c r="H51" s="1" t="s">
        <v>515</v>
      </c>
      <c r="I51" s="1" t="s">
        <v>269</v>
      </c>
      <c r="J51" s="1" t="s">
        <v>649</v>
      </c>
      <c r="K51" s="1" t="s">
        <v>257</v>
      </c>
      <c r="L51" s="1" t="s">
        <v>106</v>
      </c>
      <c r="M51" s="1" t="s">
        <v>140</v>
      </c>
      <c r="N51" s="1" t="s">
        <v>11</v>
      </c>
      <c r="O51" s="1">
        <v>0</v>
      </c>
      <c r="P51" s="1">
        <v>1232</v>
      </c>
      <c r="Q51" s="1" t="s">
        <v>108</v>
      </c>
      <c r="R51" s="1" t="s">
        <v>109</v>
      </c>
      <c r="S51" s="1">
        <v>11.5</v>
      </c>
      <c r="T51" s="1">
        <v>14168</v>
      </c>
      <c r="U51" s="1">
        <v>0</v>
      </c>
      <c r="V51" s="1">
        <v>0</v>
      </c>
      <c r="W51" s="1">
        <v>160</v>
      </c>
      <c r="X51" s="1">
        <v>1200</v>
      </c>
      <c r="Y51" s="1">
        <v>0</v>
      </c>
      <c r="Z51" s="1">
        <v>2.2999999999999998</v>
      </c>
      <c r="AA51" s="1">
        <v>40</v>
      </c>
      <c r="AB51" s="1" t="s">
        <v>650</v>
      </c>
      <c r="AC51" s="1"/>
      <c r="AD51" s="1"/>
      <c r="AE51" s="1" t="s">
        <v>15</v>
      </c>
      <c r="AF51" s="1" t="s">
        <v>518</v>
      </c>
      <c r="AG51" s="1" t="s">
        <v>651</v>
      </c>
      <c r="AH51" s="1" t="s">
        <v>646</v>
      </c>
      <c r="AI51" s="1" t="s">
        <v>144</v>
      </c>
      <c r="AJ51" s="1"/>
      <c r="AK51" s="1"/>
      <c r="AL51" s="1"/>
      <c r="AM51" s="1" t="s">
        <v>652</v>
      </c>
      <c r="AN51" s="1"/>
      <c r="AO51" s="1">
        <v>46300.650844907403</v>
      </c>
      <c r="AP51" s="1">
        <v>46301.023472222201</v>
      </c>
      <c r="AQ51" s="42">
        <v>46301.278020833299</v>
      </c>
      <c r="AR51" s="1">
        <v>21993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21993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68.378479999999996</v>
      </c>
      <c r="BP51" s="1">
        <v>0</v>
      </c>
      <c r="BQ51" s="1"/>
      <c r="BR51" s="1"/>
      <c r="BS51" s="1"/>
      <c r="BT51" s="1"/>
      <c r="BU51" s="1" t="s">
        <v>653</v>
      </c>
      <c r="BV51" s="1" t="str">
        <f t="shared" si="5"/>
        <v>08-OK ST C260710380</v>
      </c>
      <c r="BW51" s="7" t="str">
        <f t="shared" si="0"/>
        <v>bulk to bulk</v>
      </c>
      <c r="BX51" s="8" t="str">
        <f t="shared" si="1"/>
        <v>&gt;=500kg</v>
      </c>
      <c r="BY51" t="str">
        <f>IF(OR(IFERROR(VLOOKUP(J51,[1]NC!$L:$L,1,0),0)&lt;&gt;0,BQ51&gt;0),"NG","OK")</f>
        <v>OK</v>
      </c>
      <c r="BZ51" s="7" t="str">
        <f t="shared" si="4"/>
        <v>C260703861</v>
      </c>
      <c r="CA51" t="str">
        <f>IF(OR(IFERROR(VLOOKUP(BZ51,[2]DG!$H:$H,1,0),0)&lt;&gt;0,IFERROR(VLOOKUP(J51,[1]NC!$L:$L,1,0),0)&lt;&gt;0),"Rework",IF(BQ51&gt;0,"Adjustment","OK"))</f>
        <v>OK</v>
      </c>
    </row>
    <row r="52" spans="1:79">
      <c r="A52" s="1" t="s">
        <v>95</v>
      </c>
      <c r="B52" s="25" t="s">
        <v>96</v>
      </c>
      <c r="C52" s="1" t="s">
        <v>654</v>
      </c>
      <c r="D52" s="1" t="s">
        <v>278</v>
      </c>
      <c r="E52" s="1" t="s">
        <v>400</v>
      </c>
      <c r="F52" s="1" t="s">
        <v>401</v>
      </c>
      <c r="G52" s="1" t="s">
        <v>120</v>
      </c>
      <c r="H52" s="1" t="s">
        <v>402</v>
      </c>
      <c r="I52" s="1" t="s">
        <v>154</v>
      </c>
      <c r="J52" s="1" t="s">
        <v>655</v>
      </c>
      <c r="K52" s="1" t="s">
        <v>404</v>
      </c>
      <c r="L52" s="1" t="s">
        <v>106</v>
      </c>
      <c r="M52" s="1" t="s">
        <v>441</v>
      </c>
      <c r="N52" s="1" t="s">
        <v>11</v>
      </c>
      <c r="O52" s="1">
        <v>0</v>
      </c>
      <c r="P52" s="1">
        <v>1099</v>
      </c>
      <c r="Q52" s="1" t="s">
        <v>108</v>
      </c>
      <c r="R52" s="1" t="s">
        <v>109</v>
      </c>
      <c r="S52" s="1">
        <v>5.5</v>
      </c>
      <c r="T52" s="1">
        <v>6044.5</v>
      </c>
      <c r="U52" s="1">
        <v>0</v>
      </c>
      <c r="V52" s="1">
        <v>0</v>
      </c>
      <c r="W52" s="1">
        <v>280</v>
      </c>
      <c r="X52" s="1">
        <v>1150</v>
      </c>
      <c r="Y52" s="1">
        <v>0</v>
      </c>
      <c r="Z52" s="1">
        <v>2.2999999999999998</v>
      </c>
      <c r="AA52" s="1">
        <v>30</v>
      </c>
      <c r="AB52" s="1" t="s">
        <v>656</v>
      </c>
      <c r="AC52" s="1"/>
      <c r="AD52" s="1"/>
      <c r="AE52" s="1" t="s">
        <v>13</v>
      </c>
      <c r="AF52" s="1" t="s">
        <v>406</v>
      </c>
      <c r="AG52" s="1" t="s">
        <v>407</v>
      </c>
      <c r="AH52" s="1" t="s">
        <v>654</v>
      </c>
      <c r="AI52" s="1" t="s">
        <v>202</v>
      </c>
      <c r="AJ52" s="1"/>
      <c r="AK52" s="1"/>
      <c r="AL52" s="1"/>
      <c r="AM52" s="1" t="s">
        <v>657</v>
      </c>
      <c r="AN52" s="1"/>
      <c r="AO52" s="1">
        <v>46300.340289351901</v>
      </c>
      <c r="AP52" s="1">
        <v>46300.788912037002</v>
      </c>
      <c r="AQ52" s="42">
        <v>46301.278252314798</v>
      </c>
      <c r="AR52" s="1">
        <v>42279</v>
      </c>
      <c r="AS52" s="1">
        <v>74100</v>
      </c>
      <c r="AT52" s="1">
        <v>58</v>
      </c>
      <c r="AU52" s="1">
        <v>1229</v>
      </c>
      <c r="AV52" s="1">
        <v>0</v>
      </c>
      <c r="AW52" s="1">
        <v>59</v>
      </c>
      <c r="AX52" s="1">
        <v>0</v>
      </c>
      <c r="AY52" s="1">
        <v>0</v>
      </c>
      <c r="AZ52" s="1">
        <v>-31821</v>
      </c>
      <c r="BA52" s="1">
        <v>57.056680161943298</v>
      </c>
      <c r="BB52" s="1">
        <v>26730</v>
      </c>
      <c r="BC52" s="1">
        <v>13490</v>
      </c>
      <c r="BD52" s="1">
        <v>0</v>
      </c>
      <c r="BE52" s="1">
        <v>9470</v>
      </c>
      <c r="BF52" s="1">
        <v>49690</v>
      </c>
      <c r="BG52" s="1">
        <v>45.213830000000002</v>
      </c>
      <c r="BH52" s="1">
        <v>176</v>
      </c>
      <c r="BI52" s="1">
        <v>0.1601456</v>
      </c>
      <c r="BJ52" s="1">
        <v>865</v>
      </c>
      <c r="BK52" s="1">
        <v>0.78707919999999998</v>
      </c>
      <c r="BL52" s="1">
        <v>0</v>
      </c>
      <c r="BM52" s="1">
        <v>28</v>
      </c>
      <c r="BN52" s="1">
        <v>48</v>
      </c>
      <c r="BO52" s="1">
        <v>132.053</v>
      </c>
      <c r="BP52" s="1">
        <v>0</v>
      </c>
      <c r="BQ52" s="1"/>
      <c r="BR52" s="1"/>
      <c r="BS52" s="1"/>
      <c r="BT52" s="1"/>
      <c r="BU52" s="1" t="s">
        <v>658</v>
      </c>
      <c r="BV52" s="1" t="str">
        <f t="shared" si="5"/>
        <v>04-NG ST C260693000</v>
      </c>
      <c r="BW52" s="7" t="str">
        <f t="shared" si="0"/>
        <v>2nd batch</v>
      </c>
      <c r="BX52" s="8" t="str">
        <f t="shared" si="1"/>
        <v>&gt;=500kg</v>
      </c>
      <c r="BY52" t="str">
        <f>IF(OR(IFERROR(VLOOKUP(J52,[1]NC!$L:$L,1,0),0)&lt;&gt;0,BQ52&gt;0),"NG","OK")</f>
        <v>OK</v>
      </c>
      <c r="BZ52" s="7" t="str">
        <f t="shared" si="4"/>
        <v>C260694611</v>
      </c>
      <c r="CA52" t="str">
        <f>IF(OR(IFERROR(VLOOKUP(BZ52,[2]DG!$H:$H,1,0),0)&lt;&gt;0,IFERROR(VLOOKUP(J52,[1]NC!$L:$L,1,0),0)&lt;&gt;0),"Rework",IF(BQ52&gt;0,"Adjustment","OK"))</f>
        <v>OK</v>
      </c>
    </row>
    <row r="53" spans="1:79">
      <c r="A53" s="1" t="s">
        <v>95</v>
      </c>
      <c r="B53" s="10" t="s">
        <v>96</v>
      </c>
      <c r="C53" s="1" t="s">
        <v>191</v>
      </c>
      <c r="D53" s="1" t="s">
        <v>192</v>
      </c>
      <c r="E53" s="1" t="s">
        <v>193</v>
      </c>
      <c r="F53" s="1" t="s">
        <v>194</v>
      </c>
      <c r="G53" s="1" t="s">
        <v>120</v>
      </c>
      <c r="H53" s="1" t="s">
        <v>195</v>
      </c>
      <c r="I53" s="1" t="s">
        <v>154</v>
      </c>
      <c r="J53" s="1" t="s">
        <v>659</v>
      </c>
      <c r="K53" s="1" t="s">
        <v>197</v>
      </c>
      <c r="L53" s="1" t="s">
        <v>106</v>
      </c>
      <c r="M53" s="1" t="s">
        <v>198</v>
      </c>
      <c r="N53" s="1" t="s">
        <v>11</v>
      </c>
      <c r="O53" s="1">
        <v>0</v>
      </c>
      <c r="P53" s="1">
        <v>1175.8</v>
      </c>
      <c r="Q53" s="1" t="s">
        <v>108</v>
      </c>
      <c r="R53" s="1" t="s">
        <v>109</v>
      </c>
      <c r="S53" s="1">
        <v>6</v>
      </c>
      <c r="T53" s="1">
        <v>7054.8</v>
      </c>
      <c r="U53" s="1">
        <v>0</v>
      </c>
      <c r="V53" s="1">
        <v>0</v>
      </c>
      <c r="W53" s="1">
        <v>300</v>
      </c>
      <c r="X53" s="1">
        <v>1200</v>
      </c>
      <c r="Y53" s="1">
        <v>0</v>
      </c>
      <c r="Z53" s="1">
        <v>2.2999999999999998</v>
      </c>
      <c r="AA53" s="1">
        <v>40</v>
      </c>
      <c r="AB53" s="1" t="s">
        <v>660</v>
      </c>
      <c r="AC53" s="1"/>
      <c r="AD53" s="1"/>
      <c r="AE53" s="1" t="s">
        <v>13</v>
      </c>
      <c r="AF53" s="1" t="s">
        <v>200</v>
      </c>
      <c r="AG53" s="1" t="s">
        <v>201</v>
      </c>
      <c r="AH53" s="1" t="s">
        <v>191</v>
      </c>
      <c r="AI53" s="1" t="s">
        <v>202</v>
      </c>
      <c r="AJ53" s="1"/>
      <c r="AK53" s="1"/>
      <c r="AL53" s="1"/>
      <c r="AM53" s="1" t="s">
        <v>203</v>
      </c>
      <c r="AN53" s="1"/>
      <c r="AO53" s="1">
        <v>46300.452083333301</v>
      </c>
      <c r="AP53" s="1">
        <v>46300.947210648097</v>
      </c>
      <c r="AQ53" s="42">
        <v>46301.278275463003</v>
      </c>
      <c r="AR53" s="1">
        <v>28604</v>
      </c>
      <c r="AS53" s="1">
        <v>49860</v>
      </c>
      <c r="AT53" s="1">
        <v>91</v>
      </c>
      <c r="AU53" s="1">
        <v>802</v>
      </c>
      <c r="AV53" s="1">
        <v>0</v>
      </c>
      <c r="AW53" s="1">
        <v>139</v>
      </c>
      <c r="AX53" s="1">
        <v>0</v>
      </c>
      <c r="AY53" s="1">
        <v>0</v>
      </c>
      <c r="AZ53" s="1">
        <v>-21256</v>
      </c>
      <c r="BA53" s="1">
        <v>57.368632170076197</v>
      </c>
      <c r="BB53" s="1">
        <v>37080</v>
      </c>
      <c r="BC53" s="1">
        <v>0</v>
      </c>
      <c r="BD53" s="1">
        <v>0</v>
      </c>
      <c r="BE53" s="1">
        <v>0</v>
      </c>
      <c r="BF53" s="1">
        <v>37080</v>
      </c>
      <c r="BG53" s="1">
        <v>31.535969999999999</v>
      </c>
      <c r="BH53" s="1">
        <v>116</v>
      </c>
      <c r="BI53" s="1">
        <v>9.8656229999999998E-2</v>
      </c>
      <c r="BJ53" s="1">
        <v>2006</v>
      </c>
      <c r="BK53" s="1">
        <v>1.706072</v>
      </c>
      <c r="BL53" s="1">
        <v>0</v>
      </c>
      <c r="BM53" s="1">
        <v>31</v>
      </c>
      <c r="BN53" s="1">
        <v>39</v>
      </c>
      <c r="BO53" s="1">
        <v>0</v>
      </c>
      <c r="BP53" s="1">
        <v>0</v>
      </c>
      <c r="BQ53" s="1"/>
      <c r="BR53" s="1"/>
      <c r="BS53" s="1"/>
      <c r="BT53" s="1"/>
      <c r="BU53" s="1" t="s">
        <v>204</v>
      </c>
      <c r="BV53" s="1" t="str">
        <f t="shared" si="5"/>
        <v>09-OK ST C260698870/C260698850</v>
      </c>
      <c r="BW53" s="7" t="str">
        <f t="shared" si="0"/>
        <v>bulk to bulk</v>
      </c>
      <c r="BX53" s="8" t="str">
        <f t="shared" si="1"/>
        <v>&gt;=500kg</v>
      </c>
      <c r="BY53" t="str">
        <f>IF(OR(IFERROR(VLOOKUP(J53,[1]NC!$L:$L,1,0),0)&lt;&gt;0,BQ53&gt;0),"NG","OK")</f>
        <v>OK</v>
      </c>
      <c r="BZ53" s="7" t="str">
        <f t="shared" si="4"/>
        <v>C260698921</v>
      </c>
      <c r="CA53" t="str">
        <f>IF(OR(IFERROR(VLOOKUP(BZ53,[2]DG!$H:$H,1,0),0)&lt;&gt;0,IFERROR(VLOOKUP(J53,[1]NC!$L:$L,1,0),0)&lt;&gt;0),"Rework",IF(BQ53&gt;0,"Adjustment","OK"))</f>
        <v>OK</v>
      </c>
    </row>
    <row r="54" spans="1:79">
      <c r="A54" s="1" t="s">
        <v>95</v>
      </c>
      <c r="B54" s="26" t="s">
        <v>96</v>
      </c>
      <c r="C54" s="1" t="s">
        <v>410</v>
      </c>
      <c r="D54" s="1" t="s">
        <v>192</v>
      </c>
      <c r="E54" s="1" t="s">
        <v>411</v>
      </c>
      <c r="F54" s="1" t="s">
        <v>412</v>
      </c>
      <c r="G54" s="1" t="s">
        <v>120</v>
      </c>
      <c r="H54" s="1" t="s">
        <v>413</v>
      </c>
      <c r="I54" s="1" t="s">
        <v>154</v>
      </c>
      <c r="J54" s="1" t="s">
        <v>661</v>
      </c>
      <c r="K54" s="1" t="s">
        <v>371</v>
      </c>
      <c r="L54" s="1" t="s">
        <v>106</v>
      </c>
      <c r="M54" s="1" t="s">
        <v>441</v>
      </c>
      <c r="N54" s="1" t="s">
        <v>11</v>
      </c>
      <c r="O54" s="1">
        <v>0</v>
      </c>
      <c r="P54" s="1">
        <v>1094.2</v>
      </c>
      <c r="Q54" s="1" t="s">
        <v>108</v>
      </c>
      <c r="R54" s="1" t="s">
        <v>109</v>
      </c>
      <c r="S54" s="1">
        <v>5.5</v>
      </c>
      <c r="T54" s="1">
        <v>6018.1</v>
      </c>
      <c r="U54" s="1">
        <v>0</v>
      </c>
      <c r="V54" s="1">
        <v>0</v>
      </c>
      <c r="W54" s="1">
        <v>260</v>
      </c>
      <c r="X54" s="1">
        <v>80</v>
      </c>
      <c r="Y54" s="1">
        <v>0</v>
      </c>
      <c r="Z54" s="1">
        <v>2.2999999999999998</v>
      </c>
      <c r="AA54" s="1">
        <v>40</v>
      </c>
      <c r="AB54" s="1" t="s">
        <v>662</v>
      </c>
      <c r="AC54" s="1"/>
      <c r="AD54" s="1"/>
      <c r="AE54" s="1" t="s">
        <v>13</v>
      </c>
      <c r="AF54" s="1" t="s">
        <v>416</v>
      </c>
      <c r="AG54" s="1" t="s">
        <v>417</v>
      </c>
      <c r="AH54" s="1" t="s">
        <v>410</v>
      </c>
      <c r="AI54" s="1" t="s">
        <v>202</v>
      </c>
      <c r="AJ54" s="1"/>
      <c r="AK54" s="1"/>
      <c r="AL54" s="1"/>
      <c r="AM54" s="1" t="s">
        <v>663</v>
      </c>
      <c r="AN54" s="1"/>
      <c r="AO54" s="1">
        <v>46300.387800925899</v>
      </c>
      <c r="AP54" s="1">
        <v>46300.829108796301</v>
      </c>
      <c r="AQ54" s="42">
        <v>46301.280972222201</v>
      </c>
      <c r="AR54" s="1">
        <v>39041</v>
      </c>
      <c r="AS54" s="1">
        <v>75360</v>
      </c>
      <c r="AT54" s="1">
        <v>723</v>
      </c>
      <c r="AU54" s="1">
        <v>1275</v>
      </c>
      <c r="AV54" s="1">
        <v>0</v>
      </c>
      <c r="AW54" s="1">
        <v>117</v>
      </c>
      <c r="AX54" s="1">
        <v>5</v>
      </c>
      <c r="AY54" s="1">
        <v>0</v>
      </c>
      <c r="AZ54" s="1">
        <v>-36319</v>
      </c>
      <c r="BA54" s="1">
        <v>51.805997876857802</v>
      </c>
      <c r="BB54" s="1">
        <v>40084</v>
      </c>
      <c r="BC54" s="1">
        <v>860.8</v>
      </c>
      <c r="BD54" s="1">
        <v>0</v>
      </c>
      <c r="BE54" s="1">
        <v>40084</v>
      </c>
      <c r="BF54" s="1">
        <v>860.8</v>
      </c>
      <c r="BG54" s="1">
        <v>0.78669350000000005</v>
      </c>
      <c r="BH54" s="1">
        <v>0</v>
      </c>
      <c r="BI54" s="1">
        <v>0</v>
      </c>
      <c r="BJ54" s="1">
        <v>36383</v>
      </c>
      <c r="BK54" s="1">
        <v>33.250779999999999</v>
      </c>
      <c r="BL54" s="1">
        <v>0</v>
      </c>
      <c r="BM54" s="1">
        <v>27</v>
      </c>
      <c r="BN54" s="1">
        <v>121</v>
      </c>
      <c r="BO54" s="1">
        <v>0</v>
      </c>
      <c r="BP54" s="1">
        <v>0</v>
      </c>
      <c r="BQ54" s="1"/>
      <c r="BR54" s="1"/>
      <c r="BS54" s="1"/>
      <c r="BT54" s="1"/>
      <c r="BU54" s="1" t="s">
        <v>419</v>
      </c>
      <c r="BV54" s="1" t="str">
        <f t="shared" si="5"/>
        <v>04-NG ST C260716910</v>
      </c>
      <c r="BW54" s="7" t="str">
        <f t="shared" si="0"/>
        <v>2nd batch</v>
      </c>
      <c r="BX54" s="8" t="str">
        <f t="shared" si="1"/>
        <v>&gt;=500kg</v>
      </c>
      <c r="BY54" t="str">
        <f>IF(OR(IFERROR(VLOOKUP(J54,[1]NC!$L:$L,1,0),0)&lt;&gt;0,BQ54&gt;0),"NG","OK")</f>
        <v>OK</v>
      </c>
      <c r="BZ54" s="7" t="str">
        <f t="shared" si="4"/>
        <v>C260716901</v>
      </c>
      <c r="CA54" t="str">
        <f>IF(OR(IFERROR(VLOOKUP(BZ54,[2]DG!$H:$H,1,0),0)&lt;&gt;0,IFERROR(VLOOKUP(J54,[1]NC!$L:$L,1,0),0)&lt;&gt;0),"Rework",IF(BQ54&gt;0,"Adjustment","OK"))</f>
        <v>OK</v>
      </c>
    </row>
    <row r="55" spans="1:79">
      <c r="A55" s="1" t="s">
        <v>95</v>
      </c>
      <c r="B55" s="10" t="s">
        <v>96</v>
      </c>
      <c r="C55" s="1" t="s">
        <v>277</v>
      </c>
      <c r="D55" s="1" t="s">
        <v>278</v>
      </c>
      <c r="E55" s="1" t="s">
        <v>298</v>
      </c>
      <c r="F55" s="1" t="s">
        <v>299</v>
      </c>
      <c r="G55" s="1" t="s">
        <v>120</v>
      </c>
      <c r="H55" s="1" t="s">
        <v>300</v>
      </c>
      <c r="I55" s="1" t="s">
        <v>282</v>
      </c>
      <c r="J55" s="1" t="s">
        <v>664</v>
      </c>
      <c r="K55" s="1" t="s">
        <v>302</v>
      </c>
      <c r="L55" s="1" t="s">
        <v>106</v>
      </c>
      <c r="M55" s="1" t="s">
        <v>140</v>
      </c>
      <c r="N55" s="1" t="s">
        <v>11</v>
      </c>
      <c r="O55" s="1">
        <v>0</v>
      </c>
      <c r="P55" s="1">
        <v>2205</v>
      </c>
      <c r="Q55" s="1" t="s">
        <v>108</v>
      </c>
      <c r="R55" s="1" t="s">
        <v>109</v>
      </c>
      <c r="S55" s="1">
        <v>6</v>
      </c>
      <c r="T55" s="1">
        <v>13230</v>
      </c>
      <c r="U55" s="1">
        <v>0</v>
      </c>
      <c r="V55" s="1">
        <v>0</v>
      </c>
      <c r="W55" s="1">
        <v>280</v>
      </c>
      <c r="X55" s="1">
        <v>1150</v>
      </c>
      <c r="Y55" s="1">
        <v>0</v>
      </c>
      <c r="Z55" s="1">
        <v>2.2999999999999998</v>
      </c>
      <c r="AA55" s="1">
        <v>30</v>
      </c>
      <c r="AB55" s="1" t="s">
        <v>665</v>
      </c>
      <c r="AC55" s="1"/>
      <c r="AD55" s="1"/>
      <c r="AE55" s="1" t="s">
        <v>13</v>
      </c>
      <c r="AF55" s="1" t="s">
        <v>304</v>
      </c>
      <c r="AG55" s="1" t="s">
        <v>305</v>
      </c>
      <c r="AH55" s="1" t="s">
        <v>277</v>
      </c>
      <c r="AI55" s="1" t="s">
        <v>202</v>
      </c>
      <c r="AJ55" s="1"/>
      <c r="AK55" s="1"/>
      <c r="AL55" s="1"/>
      <c r="AM55" s="1" t="s">
        <v>666</v>
      </c>
      <c r="AN55" s="1"/>
      <c r="AO55" s="1">
        <v>46301.003946759301</v>
      </c>
      <c r="AP55" s="1">
        <v>46301.017384259299</v>
      </c>
      <c r="AQ55" s="42">
        <v>46301.285092592603</v>
      </c>
      <c r="AR55" s="1">
        <v>23130</v>
      </c>
      <c r="AS55" s="1">
        <v>32880</v>
      </c>
      <c r="AT55" s="1">
        <v>11</v>
      </c>
      <c r="AU55" s="1">
        <v>769</v>
      </c>
      <c r="AV55" s="1">
        <v>0</v>
      </c>
      <c r="AW55" s="1">
        <v>54</v>
      </c>
      <c r="AX55" s="1">
        <v>0</v>
      </c>
      <c r="AY55" s="1">
        <v>0</v>
      </c>
      <c r="AZ55" s="1">
        <v>-9750</v>
      </c>
      <c r="BA55" s="1">
        <v>70.346715328467198</v>
      </c>
      <c r="BB55" s="1">
        <v>39320</v>
      </c>
      <c r="BC55" s="1">
        <v>0</v>
      </c>
      <c r="BD55" s="1">
        <v>0</v>
      </c>
      <c r="BE55" s="1">
        <v>34570</v>
      </c>
      <c r="BF55" s="1">
        <v>73890</v>
      </c>
      <c r="BG55" s="1">
        <v>33.510199999999998</v>
      </c>
      <c r="BH55" s="1">
        <v>209.2</v>
      </c>
      <c r="BI55" s="1">
        <v>9.4875280000000006E-2</v>
      </c>
      <c r="BJ55" s="1">
        <v>8</v>
      </c>
      <c r="BK55" s="1">
        <v>3.6281180000000001E-3</v>
      </c>
      <c r="BL55" s="1">
        <v>0</v>
      </c>
      <c r="BM55" s="1">
        <v>50</v>
      </c>
      <c r="BN55" s="1">
        <v>41</v>
      </c>
      <c r="BO55" s="1">
        <v>0</v>
      </c>
      <c r="BP55" s="1">
        <v>0</v>
      </c>
      <c r="BQ55" s="1"/>
      <c r="BR55" s="1"/>
      <c r="BS55" s="1"/>
      <c r="BT55" s="1"/>
      <c r="BU55" s="1" t="s">
        <v>308</v>
      </c>
      <c r="BV55" s="1" t="str">
        <f t="shared" si="5"/>
        <v>08-OK ST C260687110, GOP C260691840</v>
      </c>
      <c r="BW55" s="7" t="str">
        <f t="shared" si="0"/>
        <v>bulk to bulk</v>
      </c>
      <c r="BX55" s="8" t="str">
        <f t="shared" si="1"/>
        <v>&gt;=500kg</v>
      </c>
      <c r="BY55" t="str">
        <f>IF(OR(IFERROR(VLOOKUP(J55,[1]NC!$L:$L,1,0),0)&lt;&gt;0,BQ55&gt;0),"NG","OK")</f>
        <v>OK</v>
      </c>
      <c r="BZ55" s="7" t="str">
        <f t="shared" si="4"/>
        <v>C260691861</v>
      </c>
      <c r="CA55" t="str">
        <f>IF(OR(IFERROR(VLOOKUP(BZ55,[2]DG!$H:$H,1,0),0)&lt;&gt;0,IFERROR(VLOOKUP(J55,[1]NC!$L:$L,1,0),0)&lt;&gt;0),"Rework",IF(BQ55&gt;0,"Adjustment","OK"))</f>
        <v>OK</v>
      </c>
    </row>
    <row r="56" spans="1:79">
      <c r="A56" s="1" t="s">
        <v>148</v>
      </c>
      <c r="B56" s="11" t="s">
        <v>96</v>
      </c>
      <c r="C56" s="1" t="s">
        <v>149</v>
      </c>
      <c r="D56" s="1" t="s">
        <v>150</v>
      </c>
      <c r="E56" s="1" t="s">
        <v>151</v>
      </c>
      <c r="F56" s="1" t="s">
        <v>152</v>
      </c>
      <c r="G56" s="1" t="s">
        <v>101</v>
      </c>
      <c r="H56" s="1" t="s">
        <v>153</v>
      </c>
      <c r="I56" s="1" t="s">
        <v>154</v>
      </c>
      <c r="J56" s="1" t="s">
        <v>667</v>
      </c>
      <c r="K56" s="1" t="s">
        <v>156</v>
      </c>
      <c r="L56" s="1" t="s">
        <v>106</v>
      </c>
      <c r="M56" s="1" t="s">
        <v>140</v>
      </c>
      <c r="N56" s="1" t="s">
        <v>11</v>
      </c>
      <c r="O56" s="1">
        <v>0</v>
      </c>
      <c r="P56" s="1">
        <v>1218</v>
      </c>
      <c r="Q56" s="1" t="s">
        <v>108</v>
      </c>
      <c r="R56" s="1" t="s">
        <v>109</v>
      </c>
      <c r="S56" s="1">
        <v>5.5</v>
      </c>
      <c r="T56" s="1">
        <v>6699</v>
      </c>
      <c r="U56" s="1">
        <v>0</v>
      </c>
      <c r="V56" s="1">
        <v>0</v>
      </c>
      <c r="W56" s="1">
        <v>260</v>
      </c>
      <c r="X56" s="1">
        <v>1200</v>
      </c>
      <c r="Y56" s="1">
        <v>0</v>
      </c>
      <c r="Z56" s="1">
        <v>2</v>
      </c>
      <c r="AA56" s="1">
        <v>40</v>
      </c>
      <c r="AB56" s="1" t="s">
        <v>668</v>
      </c>
      <c r="AC56" s="1"/>
      <c r="AD56" s="1"/>
      <c r="AE56" s="1" t="s">
        <v>14</v>
      </c>
      <c r="AF56" s="1" t="s">
        <v>158</v>
      </c>
      <c r="AG56" s="1" t="s">
        <v>159</v>
      </c>
      <c r="AH56" s="1" t="s">
        <v>149</v>
      </c>
      <c r="AI56" s="1" t="s">
        <v>160</v>
      </c>
      <c r="AJ56" s="1"/>
      <c r="AK56" s="1"/>
      <c r="AL56" s="1"/>
      <c r="AM56" s="1" t="s">
        <v>161</v>
      </c>
      <c r="AN56" s="1"/>
      <c r="AO56" s="1">
        <v>46299.9934490741</v>
      </c>
      <c r="AP56" s="1">
        <v>46300.4944791667</v>
      </c>
      <c r="AQ56" s="42">
        <v>46301.285150463002</v>
      </c>
      <c r="AR56" s="1">
        <v>68314</v>
      </c>
      <c r="AS56" s="1">
        <v>65700</v>
      </c>
      <c r="AT56" s="1">
        <v>570</v>
      </c>
      <c r="AU56" s="1">
        <v>1381</v>
      </c>
      <c r="AV56" s="1">
        <v>0</v>
      </c>
      <c r="AW56" s="1">
        <v>137</v>
      </c>
      <c r="AX56" s="1">
        <v>0</v>
      </c>
      <c r="AY56" s="1">
        <v>0</v>
      </c>
      <c r="AZ56" s="1">
        <v>2614</v>
      </c>
      <c r="BA56" s="1">
        <v>103.97869101978699</v>
      </c>
      <c r="BB56" s="1">
        <v>35770</v>
      </c>
      <c r="BC56" s="1">
        <v>33730</v>
      </c>
      <c r="BD56" s="1">
        <v>0</v>
      </c>
      <c r="BE56" s="1">
        <v>10930</v>
      </c>
      <c r="BF56" s="1">
        <v>80430</v>
      </c>
      <c r="BG56" s="1">
        <v>66.034480000000002</v>
      </c>
      <c r="BH56" s="1">
        <v>283</v>
      </c>
      <c r="BI56" s="1">
        <v>0.2323481</v>
      </c>
      <c r="BJ56" s="1">
        <v>2489</v>
      </c>
      <c r="BK56" s="1">
        <v>2.0435140000000001</v>
      </c>
      <c r="BL56" s="1">
        <v>0</v>
      </c>
      <c r="BM56" s="1">
        <v>64</v>
      </c>
      <c r="BN56" s="1">
        <v>75</v>
      </c>
      <c r="BO56" s="1">
        <v>523.22019999999998</v>
      </c>
      <c r="BP56" s="1">
        <v>0</v>
      </c>
      <c r="BQ56" s="1"/>
      <c r="BR56" s="1"/>
      <c r="BS56" s="1"/>
      <c r="BT56" s="1"/>
      <c r="BU56" s="1" t="s">
        <v>162</v>
      </c>
      <c r="BV56" s="1" t="str">
        <f t="shared" si="5"/>
        <v>08-OK ST C260703910</v>
      </c>
      <c r="BW56" s="7" t="str">
        <f t="shared" si="0"/>
        <v>bulk to bulk</v>
      </c>
      <c r="BX56" s="8" t="str">
        <f t="shared" si="1"/>
        <v>&gt;=500kg</v>
      </c>
      <c r="BY56" t="str">
        <f>IF(OR(IFERROR(VLOOKUP(J56,[1]NC!$L:$L,1,0),0)&lt;&gt;0,BQ56&gt;0),"NG","OK")</f>
        <v>OK</v>
      </c>
      <c r="BZ56" s="7" t="str">
        <f t="shared" si="4"/>
        <v>C260703931</v>
      </c>
      <c r="CA56" t="str">
        <f>IF(OR(IFERROR(VLOOKUP(BZ56,[2]DG!$H:$H,1,0),0)&lt;&gt;0,IFERROR(VLOOKUP(J56,[1]NC!$L:$L,1,0),0)&lt;&gt;0),"Rework",IF(BQ56&gt;0,"Adjustment","OK"))</f>
        <v>OK</v>
      </c>
    </row>
    <row r="57" spans="1:79">
      <c r="A57" s="1" t="s">
        <v>95</v>
      </c>
      <c r="B57" s="40" t="s">
        <v>96</v>
      </c>
      <c r="C57" s="1" t="s">
        <v>669</v>
      </c>
      <c r="D57" s="1" t="s">
        <v>355</v>
      </c>
      <c r="E57" s="1" t="s">
        <v>670</v>
      </c>
      <c r="F57" s="1" t="s">
        <v>671</v>
      </c>
      <c r="G57" s="1" t="s">
        <v>120</v>
      </c>
      <c r="H57" s="1" t="s">
        <v>369</v>
      </c>
      <c r="I57" s="1" t="s">
        <v>154</v>
      </c>
      <c r="J57" s="1" t="s">
        <v>672</v>
      </c>
      <c r="K57" s="1" t="s">
        <v>673</v>
      </c>
      <c r="L57" s="1" t="s">
        <v>106</v>
      </c>
      <c r="M57" s="1" t="s">
        <v>107</v>
      </c>
      <c r="N57" s="1" t="s">
        <v>12</v>
      </c>
      <c r="O57" s="1">
        <v>0</v>
      </c>
      <c r="P57" s="1">
        <v>1167.8</v>
      </c>
      <c r="Q57" s="1" t="s">
        <v>108</v>
      </c>
      <c r="R57" s="1" t="s">
        <v>109</v>
      </c>
      <c r="S57" s="1">
        <v>5</v>
      </c>
      <c r="T57" s="1">
        <v>5839</v>
      </c>
      <c r="U57" s="1">
        <v>0</v>
      </c>
      <c r="V57" s="1">
        <v>0</v>
      </c>
      <c r="W57" s="1">
        <v>300</v>
      </c>
      <c r="X57" s="1">
        <v>1200</v>
      </c>
      <c r="Y57" s="1">
        <v>0</v>
      </c>
      <c r="Z57" s="1">
        <v>2.2999999999999998</v>
      </c>
      <c r="AA57" s="1">
        <v>40</v>
      </c>
      <c r="AB57" s="1" t="s">
        <v>674</v>
      </c>
      <c r="AC57" s="1"/>
      <c r="AD57" s="1"/>
      <c r="AE57" s="1" t="s">
        <v>13</v>
      </c>
      <c r="AF57" s="1" t="s">
        <v>675</v>
      </c>
      <c r="AG57" s="1" t="s">
        <v>676</v>
      </c>
      <c r="AH57" s="1" t="s">
        <v>669</v>
      </c>
      <c r="AI57" s="1" t="s">
        <v>202</v>
      </c>
      <c r="AJ57" s="1"/>
      <c r="AK57" s="1"/>
      <c r="AL57" s="1"/>
      <c r="AM57" s="1" t="s">
        <v>175</v>
      </c>
      <c r="AN57" s="1"/>
      <c r="AO57" s="1">
        <v>46300.707037036998</v>
      </c>
      <c r="AP57" s="1">
        <v>46300.784490740698</v>
      </c>
      <c r="AQ57" s="42">
        <v>46301.290034722202</v>
      </c>
      <c r="AR57" s="1">
        <v>43679</v>
      </c>
      <c r="AS57" s="1">
        <v>76680</v>
      </c>
      <c r="AT57" s="1">
        <v>820</v>
      </c>
      <c r="AU57" s="1">
        <v>757</v>
      </c>
      <c r="AV57" s="1">
        <v>0</v>
      </c>
      <c r="AW57" s="1">
        <v>72</v>
      </c>
      <c r="AX57" s="1">
        <v>0</v>
      </c>
      <c r="AY57" s="1">
        <v>0</v>
      </c>
      <c r="AZ57" s="1">
        <v>-33001</v>
      </c>
      <c r="BA57" s="1">
        <v>56.962702138758502</v>
      </c>
      <c r="BB57" s="1">
        <v>26840</v>
      </c>
      <c r="BC57" s="1">
        <v>12750</v>
      </c>
      <c r="BD57" s="1">
        <v>0</v>
      </c>
      <c r="BE57" s="1">
        <v>6360</v>
      </c>
      <c r="BF57" s="1">
        <v>45950</v>
      </c>
      <c r="BG57" s="1">
        <v>39.347490000000001</v>
      </c>
      <c r="BH57" s="1">
        <v>182</v>
      </c>
      <c r="BI57" s="1">
        <v>0.1558486</v>
      </c>
      <c r="BJ57" s="1">
        <v>1131</v>
      </c>
      <c r="BK57" s="1">
        <v>0.96848769999999995</v>
      </c>
      <c r="BL57" s="1">
        <v>0</v>
      </c>
      <c r="BM57" s="1">
        <v>35</v>
      </c>
      <c r="BN57" s="1">
        <v>50</v>
      </c>
      <c r="BO57" s="1">
        <v>47.055880000000002</v>
      </c>
      <c r="BP57" s="1">
        <v>0</v>
      </c>
      <c r="BQ57" s="1"/>
      <c r="BR57" s="1"/>
      <c r="BS57" s="1"/>
      <c r="BT57" s="1"/>
      <c r="BU57" s="1" t="s">
        <v>677</v>
      </c>
      <c r="BV57" s="1" t="str">
        <f t="shared" si="5"/>
        <v>03-NG, THE DAU, CAT 2Y VAI</v>
      </c>
      <c r="BW57" s="7" t="str">
        <f t="shared" si="0"/>
        <v>2nd batch</v>
      </c>
      <c r="BX57" s="8" t="str">
        <f t="shared" si="1"/>
        <v>&gt;=500kg</v>
      </c>
      <c r="BY57" t="str">
        <f>IF(OR(IFERROR(VLOOKUP(J57,[1]NC!$L:$L,1,0),0)&lt;&gt;0,BQ57&gt;0),"NG","OK")</f>
        <v>OK</v>
      </c>
      <c r="BZ57" s="7" t="str">
        <f t="shared" si="4"/>
        <v>C260709181</v>
      </c>
      <c r="CA57" t="str">
        <f>IF(OR(IFERROR(VLOOKUP(BZ57,[2]DG!$H:$H,1,0),0)&lt;&gt;0,IFERROR(VLOOKUP(J57,[1]NC!$L:$L,1,0),0)&lt;&gt;0),"Rework",IF(BQ57&gt;0,"Adjustment","OK"))</f>
        <v>OK</v>
      </c>
    </row>
    <row r="58" spans="1:79">
      <c r="A58" s="1" t="s">
        <v>95</v>
      </c>
      <c r="B58" s="22" t="s">
        <v>96</v>
      </c>
      <c r="C58" s="1" t="s">
        <v>678</v>
      </c>
      <c r="D58" s="1" t="s">
        <v>679</v>
      </c>
      <c r="E58" s="1" t="s">
        <v>680</v>
      </c>
      <c r="F58" s="1" t="s">
        <v>357</v>
      </c>
      <c r="G58" s="1" t="s">
        <v>101</v>
      </c>
      <c r="H58" s="1" t="s">
        <v>358</v>
      </c>
      <c r="I58" s="1" t="s">
        <v>103</v>
      </c>
      <c r="J58" s="1" t="s">
        <v>681</v>
      </c>
      <c r="K58" s="1" t="s">
        <v>682</v>
      </c>
      <c r="L58" s="1" t="s">
        <v>106</v>
      </c>
      <c r="M58" s="1" t="s">
        <v>107</v>
      </c>
      <c r="N58" s="1" t="s">
        <v>12</v>
      </c>
      <c r="O58" s="1">
        <v>0</v>
      </c>
      <c r="P58" s="1">
        <v>471</v>
      </c>
      <c r="Q58" s="1" t="s">
        <v>108</v>
      </c>
      <c r="R58" s="1" t="s">
        <v>109</v>
      </c>
      <c r="S58" s="1">
        <v>5.5</v>
      </c>
      <c r="T58" s="1">
        <v>2590.5</v>
      </c>
      <c r="U58" s="1">
        <v>0</v>
      </c>
      <c r="V58" s="1">
        <v>0</v>
      </c>
      <c r="W58" s="1">
        <v>270</v>
      </c>
      <c r="X58" s="1">
        <v>1100</v>
      </c>
      <c r="Y58" s="1">
        <v>0</v>
      </c>
      <c r="Z58" s="1">
        <v>2.2999999999999998</v>
      </c>
      <c r="AA58" s="1">
        <v>30</v>
      </c>
      <c r="AB58" s="1" t="s">
        <v>683</v>
      </c>
      <c r="AC58" s="1"/>
      <c r="AD58" s="1"/>
      <c r="AE58" s="1" t="s">
        <v>13</v>
      </c>
      <c r="AF58" s="1" t="s">
        <v>684</v>
      </c>
      <c r="AG58" s="1" t="s">
        <v>685</v>
      </c>
      <c r="AH58" s="1" t="s">
        <v>678</v>
      </c>
      <c r="AI58" s="1" t="s">
        <v>686</v>
      </c>
      <c r="AJ58" s="1"/>
      <c r="AK58" s="1" t="s">
        <v>687</v>
      </c>
      <c r="AL58" s="1"/>
      <c r="AM58" s="1" t="s">
        <v>688</v>
      </c>
      <c r="AN58" s="1"/>
      <c r="AO58" s="1">
        <v>46300.597534722197</v>
      </c>
      <c r="AP58" s="1">
        <v>46300.787222222199</v>
      </c>
      <c r="AQ58" s="42">
        <v>46301.290497685201</v>
      </c>
      <c r="AR58" s="1">
        <v>43483</v>
      </c>
      <c r="AS58" s="1">
        <v>70500</v>
      </c>
      <c r="AT58" s="1">
        <v>27</v>
      </c>
      <c r="AU58" s="1">
        <v>1631</v>
      </c>
      <c r="AV58" s="1">
        <v>0</v>
      </c>
      <c r="AW58" s="1">
        <v>47</v>
      </c>
      <c r="AX58" s="1">
        <v>0</v>
      </c>
      <c r="AY58" s="1">
        <v>0</v>
      </c>
      <c r="AZ58" s="1">
        <v>-27017</v>
      </c>
      <c r="BA58" s="1">
        <v>61.678014184397199</v>
      </c>
      <c r="BB58" s="1">
        <v>6860</v>
      </c>
      <c r="BC58" s="1">
        <v>4550</v>
      </c>
      <c r="BD58" s="1">
        <v>0</v>
      </c>
      <c r="BE58" s="1">
        <v>6810</v>
      </c>
      <c r="BF58" s="1">
        <v>18220</v>
      </c>
      <c r="BG58" s="1">
        <v>38.68365</v>
      </c>
      <c r="BH58" s="1">
        <v>101</v>
      </c>
      <c r="BI58" s="1">
        <v>0.2144374</v>
      </c>
      <c r="BJ58" s="1">
        <v>486</v>
      </c>
      <c r="BK58" s="1">
        <v>1.031847</v>
      </c>
      <c r="BL58" s="1">
        <v>0</v>
      </c>
      <c r="BM58" s="1">
        <v>29</v>
      </c>
      <c r="BN58" s="1">
        <v>33</v>
      </c>
      <c r="BO58" s="1">
        <v>151.7921</v>
      </c>
      <c r="BP58" s="1">
        <v>0</v>
      </c>
      <c r="BQ58" s="1"/>
      <c r="BR58" s="1"/>
      <c r="BS58" s="1"/>
      <c r="BT58" s="1"/>
      <c r="BU58" s="1" t="s">
        <v>689</v>
      </c>
      <c r="BV58" s="1" t="str">
        <f t="shared" si="5"/>
        <v>ty trong muoi 1.0506-NG, KHAC LOT SOI, CT CHINH TAY, THE DAU, CAT 2Y VAI</v>
      </c>
      <c r="BW58" s="7" t="str">
        <f t="shared" si="0"/>
        <v>2nd batch</v>
      </c>
      <c r="BX58" s="8" t="str">
        <f t="shared" si="1"/>
        <v>&gt;=500kg</v>
      </c>
      <c r="BY58" t="str">
        <f>IF(OR(IFERROR(VLOOKUP(J58,[1]NC!$L:$L,1,0),0)&lt;&gt;0,BQ58&gt;0),"NG","OK")</f>
        <v>OK</v>
      </c>
      <c r="BZ58" s="7" t="str">
        <f t="shared" si="4"/>
        <v>C260679831</v>
      </c>
      <c r="CA58" t="str">
        <f>IF(OR(IFERROR(VLOOKUP(BZ58,[2]DG!$H:$H,1,0),0)&lt;&gt;0,IFERROR(VLOOKUP(J58,[1]NC!$L:$L,1,0),0)&lt;&gt;0),"Rework",IF(BQ58&gt;0,"Adjustment","OK"))</f>
        <v>OK</v>
      </c>
    </row>
  </sheetData>
  <autoFilter ref="A1:CA58" xr:uid="{00000000-0009-0000-0000-000001000000}"/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sqref="A1:N10"/>
    </sheetView>
  </sheetViews>
  <sheetFormatPr defaultColWidth="8.7265625" defaultRowHeight="14.5"/>
  <cols>
    <col min="1" max="1" width="32.90625" customWidth="1"/>
    <col min="2" max="2" width="12.26953125" customWidth="1"/>
    <col min="4" max="4" width="12.36328125" customWidth="1"/>
  </cols>
  <sheetData>
    <row r="1" spans="1:4">
      <c r="A1" s="1" t="s">
        <v>33</v>
      </c>
      <c r="B1" t="s">
        <v>690</v>
      </c>
      <c r="D1" s="2" t="s">
        <v>691</v>
      </c>
    </row>
    <row r="2" spans="1:4">
      <c r="A2" s="1" t="s">
        <v>241</v>
      </c>
      <c r="B2" t="s">
        <v>692</v>
      </c>
      <c r="D2" s="3" t="s">
        <v>693</v>
      </c>
    </row>
    <row r="3" spans="1:4">
      <c r="A3" s="1" t="s">
        <v>184</v>
      </c>
      <c r="B3" t="s">
        <v>7</v>
      </c>
    </row>
    <row r="4" spans="1:4">
      <c r="A4" s="1" t="s">
        <v>107</v>
      </c>
      <c r="B4" t="s">
        <v>7</v>
      </c>
    </row>
    <row r="5" spans="1:4">
      <c r="A5" s="1" t="s">
        <v>441</v>
      </c>
      <c r="B5" t="s">
        <v>7</v>
      </c>
    </row>
    <row r="6" spans="1:4">
      <c r="A6" s="1" t="s">
        <v>393</v>
      </c>
      <c r="B6" t="s">
        <v>7</v>
      </c>
    </row>
    <row r="7" spans="1:4">
      <c r="A7" s="1" t="s">
        <v>124</v>
      </c>
      <c r="B7" t="s">
        <v>7</v>
      </c>
    </row>
    <row r="8" spans="1:4">
      <c r="A8" s="1" t="s">
        <v>467</v>
      </c>
      <c r="B8" t="s">
        <v>692</v>
      </c>
    </row>
    <row r="9" spans="1:4">
      <c r="A9" s="1" t="s">
        <v>140</v>
      </c>
      <c r="B9" t="s">
        <v>694</v>
      </c>
    </row>
    <row r="10" spans="1:4">
      <c r="A10" s="1" t="s">
        <v>198</v>
      </c>
      <c r="B10" t="s">
        <v>694</v>
      </c>
    </row>
  </sheetData>
  <sortState xmlns:xlrd2="http://schemas.microsoft.com/office/spreadsheetml/2017/richdata2" ref="A1:A10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Tran (MED/CETVN)</dc:creator>
  <cp:lastModifiedBy>William Tran (MED/CETVN)</cp:lastModifiedBy>
  <dcterms:created xsi:type="dcterms:W3CDTF">2024-05-30T07:04:00Z</dcterms:created>
  <dcterms:modified xsi:type="dcterms:W3CDTF">2026-10-07T08:33:16Z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C361DAD7714743E38DF3AC3A68E62CC8_13</vt:lpwstr>
  </property>
</Properties>
</file>